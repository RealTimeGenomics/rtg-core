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charts/chart4.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00000000-0000-0000-0000-000000000000}"/>
  <workbookPr showInkAnnotation="0" codeName="ThisWorkbook" autoCompressPictures="0"/>
  <bookViews>
    <workbookView xWindow="15" yWindow="0" windowWidth="38100" windowHeight="15480" tabRatio="500"/>
  </bookViews>
  <sheets>
    <sheet name="Data" sheetId="3" r:id="rId1"/>
    <sheet name="TopN" sheetId="4" r:id="rId2"/>
    <sheet name="Graphs" sheetId="5" r:id="rId3"/>
  </sheets>
  <definedNames>
    <definedName name="_xlnm._FilterDatabase" localSheetId="0" hidden="1">Data!$A$20:$S$20</definedName>
    <definedName name="abhi">OFFSET(TopN!$J$3,0,0,COUNTA(TopN!$A:$A) - 1,1)</definedName>
    <definedName name="ablo">OFFSET(TopN!$C$3,0,0,COUNTA(TopN!$A:$A) - 1,1)</definedName>
    <definedName name="abmid">OFFSET(TopN!$I$3,0,0,COUNTA(TopN!$A:$A) - 1,1)</definedName>
    <definedName name="abundance">OFFSET(TopN!$B$3,0,0,COUNTA(TopN!$A:$A) - 1,1)</definedName>
    <definedName name="dna">OFFSET(TopN!$E$3,0,0,COUNTA(TopN!$A:$A) - 1,1)</definedName>
    <definedName name="dnahi">OFFSET(TopN!$L$3,0,0,COUNTA(TopN!$A:$A) - 1,1)</definedName>
    <definedName name="dnalo">OFFSET(TopN!$F$3,0,0,COUNTA(TopN!$A:$A) - 1,1)</definedName>
    <definedName name="dnamid">OFFSET(TopN!$K$3,0,0,COUNTA(TopN!$A:$A) - 1,1)</definedName>
    <definedName name="name">OFFSET(TopN!$H$3,0,0,COUNTA(TopN!$A:$A) - 1,1)</definedName>
    <definedName name="ranks">OFFSET(Data!$U$19,0,0,COUNTA(Data!$U:$U),1)</definedName>
  </definedNames>
  <calcPr calcId="125725"/>
  <pivotCaches>
    <pivotCache cacheId="257" r:id="rId4"/>
    <pivotCache cacheId="260" r:id="rId5"/>
  </pivotCaches>
</workbook>
</file>

<file path=xl/calcChain.xml><?xml version="1.0" encoding="utf-8"?>
<calcChain xmlns="http://schemas.openxmlformats.org/spreadsheetml/2006/main">
  <c r="E2" i="5"/>
  <c r="F2"/>
  <c r="B2"/>
  <c r="C2"/>
  <c r="D2"/>
  <c r="A2"/>
  <c r="Q20" i="3"/>
  <c r="R20" s="1"/>
  <c r="S20" l="1"/>
</calcChain>
</file>

<file path=xl/sharedStrings.xml><?xml version="1.0" encoding="utf-8"?>
<sst xmlns="http://schemas.openxmlformats.org/spreadsheetml/2006/main" count="47" uniqueCount="39">
  <si>
    <t>family</t>
  </si>
  <si>
    <t>abundance</t>
  </si>
  <si>
    <t>dna</t>
  </si>
  <si>
    <t>breadth</t>
  </si>
  <si>
    <t>mapped</t>
  </si>
  <si>
    <t>depth</t>
  </si>
  <si>
    <t>rank</t>
  </si>
  <si>
    <t>name</t>
  </si>
  <si>
    <t>ab-hi</t>
  </si>
  <si>
    <t>ab-lo</t>
  </si>
  <si>
    <t>dna-hi</t>
  </si>
  <si>
    <t>dna-lo</t>
  </si>
  <si>
    <t>tax-id</t>
  </si>
  <si>
    <t>tax-cnt</t>
  </si>
  <si>
    <t>prnt-id</t>
  </si>
  <si>
    <t>is-rank</t>
  </si>
  <si>
    <t>cumul-rank</t>
  </si>
  <si>
    <t>order-rank</t>
  </si>
  <si>
    <t>confidence</t>
  </si>
  <si>
    <t>Values</t>
  </si>
  <si>
    <t>Sum of ab-mid</t>
  </si>
  <si>
    <t>Sum of ab-high</t>
  </si>
  <si>
    <t>Sum of dna-mid</t>
  </si>
  <si>
    <t>Sum of dna-high</t>
  </si>
  <si>
    <t>has-ref</t>
  </si>
  <si>
    <t>To alter the taxon level that the graphs will be generated from, enter the rank to be selected in the cell below.</t>
  </si>
  <si>
    <t>When pasting in new data be careful to clear the old data from columns A-P, and paste the new data in its place.</t>
  </si>
  <si>
    <t>The final three columns (P-R) of the table are automatically calculated and should not be overwritten manually.</t>
  </si>
  <si>
    <t>When the new data has been pasted into the table use the resize table design tool to select the new table size, delete any trailing formulas from the end of the table.</t>
  </si>
  <si>
    <t>Graphs from this table are generated via the filtered table on the TopN sheet and are on the Graphs sheet.</t>
  </si>
  <si>
    <t>To alter the top number of taxons shown in the graphs, go to the TopN sheet, and change the order-rank columns label filter to "Between 1 and N", where N is the most you want to see in the graphs.</t>
  </si>
  <si>
    <t>This is an example worksheet showing how you might plot abundance graphs from the RTG species tool output (species.tsv).</t>
  </si>
  <si>
    <t>To load your own runs into this spreadsheet, open the species.tsv output file, then copy the data from below the column headers (beginning with #) and paste them into the data table below.</t>
  </si>
  <si>
    <t>If you do not enable macros for this file, when you change the sort order, taxon level, or data on the table below, you will have to manually refresh the pivot table on the TopN sheet.</t>
  </si>
  <si>
    <t>The data contained in the table below is sorted and plotted in bar and pie chart form on the Graphs worksheet.</t>
  </si>
  <si>
    <t>Rank of Interest:</t>
  </si>
  <si>
    <t>Sort from largest to smallest on either abundance or dna columns below. Based on which one you have selected the graphs for either abundance or dna will be showing the top N in the correct order for those values.</t>
  </si>
  <si>
    <t>This spreadsheet has been tested with Microsoft Excel 2007, with macros enabled.</t>
  </si>
  <si>
    <t>(blank)</t>
  </si>
</sst>
</file>

<file path=xl/styles.xml><?xml version="1.0" encoding="utf-8"?>
<styleSheet xmlns="http://schemas.openxmlformats.org/spreadsheetml/2006/main">
  <numFmts count="1">
    <numFmt numFmtId="164" formatCode="0.000E+00"/>
  </numFmts>
  <fonts count="22">
    <font>
      <sz val="12"/>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0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1" fillId="32" borderId="0" applyNumberFormat="0" applyBorder="0" applyAlignment="0" applyProtection="0"/>
    <xf numFmtId="0" fontId="2" fillId="0" borderId="0"/>
    <xf numFmtId="0" fontId="2" fillId="8" borderId="8" applyNumberFormat="0" applyFont="0" applyAlignment="0" applyProtection="0"/>
    <xf numFmtId="0" fontId="1" fillId="0" borderId="0"/>
    <xf numFmtId="0" fontId="1" fillId="8" borderId="8" applyNumberFormat="0" applyFont="0" applyAlignment="0" applyProtection="0"/>
    <xf numFmtId="0" fontId="1" fillId="10" borderId="0" applyNumberFormat="0" applyBorder="0" applyAlignment="0" applyProtection="0"/>
    <xf numFmtId="0" fontId="1" fillId="11"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cellStyleXfs>
  <cellXfs count="12">
    <xf numFmtId="0" fontId="0" fillId="0" borderId="0" xfId="0"/>
    <xf numFmtId="164" fontId="0" fillId="0" borderId="0" xfId="0" applyNumberFormat="1"/>
    <xf numFmtId="164" fontId="5" fillId="0" borderId="0" xfId="0" applyNumberFormat="1" applyFont="1"/>
    <xf numFmtId="0" fontId="0" fillId="0" borderId="0" xfId="0" applyNumberFormat="1"/>
    <xf numFmtId="0" fontId="0" fillId="0" borderId="0" xfId="0" pivotButton="1"/>
    <xf numFmtId="0" fontId="0" fillId="0" borderId="0" xfId="0" applyAlignment="1">
      <alignment horizontal="left"/>
    </xf>
    <xf numFmtId="0" fontId="2" fillId="0" borderId="0" xfId="87"/>
    <xf numFmtId="11" fontId="2" fillId="0" borderId="0" xfId="87" applyNumberFormat="1"/>
    <xf numFmtId="164" fontId="5" fillId="33" borderId="0" xfId="0" applyNumberFormat="1" applyFont="1" applyFill="1"/>
    <xf numFmtId="164" fontId="1" fillId="0" borderId="0" xfId="89" applyNumberFormat="1"/>
    <xf numFmtId="0" fontId="1" fillId="0" borderId="0" xfId="89"/>
    <xf numFmtId="11" fontId="1" fillId="0" borderId="0" xfId="89" applyNumberFormat="1"/>
  </cellXfs>
  <cellStyles count="103">
    <cellStyle name="20% - Accent1" xfId="64" builtinId="30" customBuiltin="1"/>
    <cellStyle name="20% - Accent1 2" xfId="91"/>
    <cellStyle name="20% - Accent2" xfId="68" builtinId="34" customBuiltin="1"/>
    <cellStyle name="20% - Accent2 2" xfId="93"/>
    <cellStyle name="20% - Accent3" xfId="72" builtinId="38" customBuiltin="1"/>
    <cellStyle name="20% - Accent3 2" xfId="95"/>
    <cellStyle name="20% - Accent4" xfId="76" builtinId="42" customBuiltin="1"/>
    <cellStyle name="20% - Accent4 2" xfId="97"/>
    <cellStyle name="20% - Accent5" xfId="80" builtinId="46" customBuiltin="1"/>
    <cellStyle name="20% - Accent5 2" xfId="99"/>
    <cellStyle name="20% - Accent6" xfId="84" builtinId="50" customBuiltin="1"/>
    <cellStyle name="20% - Accent6 2" xfId="101"/>
    <cellStyle name="40% - Accent1" xfId="65" builtinId="31" customBuiltin="1"/>
    <cellStyle name="40% - Accent1 2" xfId="92"/>
    <cellStyle name="40% - Accent2" xfId="69" builtinId="35" customBuiltin="1"/>
    <cellStyle name="40% - Accent2 2" xfId="94"/>
    <cellStyle name="40% - Accent3" xfId="73" builtinId="39" customBuiltin="1"/>
    <cellStyle name="40% - Accent3 2" xfId="96"/>
    <cellStyle name="40% - Accent4" xfId="77" builtinId="43" customBuiltin="1"/>
    <cellStyle name="40% - Accent4 2" xfId="98"/>
    <cellStyle name="40% - Accent5" xfId="81" builtinId="47" customBuiltin="1"/>
    <cellStyle name="40% - Accent5 2" xfId="100"/>
    <cellStyle name="40% - Accent6" xfId="85" builtinId="51" customBuiltin="1"/>
    <cellStyle name="40% - Accent6 2" xfId="102"/>
    <cellStyle name="60% - Accent1" xfId="66" builtinId="32" customBuiltin="1"/>
    <cellStyle name="60% - Accent2" xfId="70" builtinId="36" customBuiltin="1"/>
    <cellStyle name="60% - Accent3" xfId="74" builtinId="40" customBuiltin="1"/>
    <cellStyle name="60% - Accent4" xfId="78" builtinId="44" customBuiltin="1"/>
    <cellStyle name="60% - Accent5" xfId="82" builtinId="48" customBuiltin="1"/>
    <cellStyle name="60% - Accent6" xfId="86" builtinId="52" customBuiltin="1"/>
    <cellStyle name="Accent1" xfId="63" builtinId="29" customBuiltin="1"/>
    <cellStyle name="Accent2" xfId="67" builtinId="33" customBuiltin="1"/>
    <cellStyle name="Accent3" xfId="71" builtinId="37" customBuiltin="1"/>
    <cellStyle name="Accent4" xfId="75" builtinId="41" customBuiltin="1"/>
    <cellStyle name="Accent5" xfId="79" builtinId="45" customBuiltin="1"/>
    <cellStyle name="Accent6" xfId="83" builtinId="49" customBuiltin="1"/>
    <cellStyle name="Bad" xfId="53" builtinId="27" customBuiltin="1"/>
    <cellStyle name="Calculation" xfId="57" builtinId="22" customBuiltin="1"/>
    <cellStyle name="Check Cell" xfId="59" builtinId="23" customBuiltin="1"/>
    <cellStyle name="Explanatory Text" xfId="61" builtinId="53" customBuiltin="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Good" xfId="52" builtinId="26" customBuiltin="1"/>
    <cellStyle name="Heading 1" xfId="48" builtinId="16" customBuiltin="1"/>
    <cellStyle name="Heading 2" xfId="49" builtinId="17" customBuiltin="1"/>
    <cellStyle name="Heading 3" xfId="50" builtinId="18" customBuiltin="1"/>
    <cellStyle name="Heading 4" xfId="51" builtinId="19" customBuilti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Input" xfId="55" builtinId="20" customBuiltin="1"/>
    <cellStyle name="Linked Cell" xfId="58" builtinId="24" customBuiltin="1"/>
    <cellStyle name="Neutral" xfId="54" builtinId="28" customBuiltin="1"/>
    <cellStyle name="Normal" xfId="0" builtinId="0"/>
    <cellStyle name="Normal 2" xfId="87"/>
    <cellStyle name="Normal 3" xfId="89"/>
    <cellStyle name="Note 2" xfId="88"/>
    <cellStyle name="Note 3" xfId="90"/>
    <cellStyle name="Output" xfId="56" builtinId="21" customBuiltin="1"/>
    <cellStyle name="Title" xfId="47" builtinId="15" customBuiltin="1"/>
    <cellStyle name="Total" xfId="62" builtinId="25" customBuiltin="1"/>
    <cellStyle name="Warning Text" xfId="60" builtinId="11" customBuiltin="1"/>
  </cellStyles>
  <dxfs count="9">
    <dxf>
      <numFmt numFmtId="0" formatCode="General"/>
    </dxf>
    <dxf>
      <numFmt numFmtId="0" formatCode="General"/>
    </dxf>
    <dxf>
      <numFmt numFmtId="0" formatCode="General"/>
    </dxf>
    <dxf>
      <numFmt numFmtId="164" formatCode="0.000E+00"/>
    </dxf>
    <dxf>
      <numFmt numFmtId="164" formatCode="0.000E+00"/>
    </dxf>
    <dxf>
      <numFmt numFmtId="164" formatCode="0.000E+00"/>
    </dxf>
    <dxf>
      <numFmt numFmtId="164" formatCode="0.000E+00"/>
    </dxf>
    <dxf>
      <numFmt numFmtId="164" formatCode="0.000E+00"/>
    </dxf>
    <dxf>
      <numFmt numFmtId="164" formatCode="0.000E+0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2.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en-NZ"/>
  <c:style val="18"/>
  <c:chart>
    <c:title>
      <c:layout/>
    </c:title>
    <c:plotArea>
      <c:layout/>
      <c:ofPieChart>
        <c:ofPieType val="pie"/>
        <c:varyColors val="1"/>
        <c:ser>
          <c:idx val="0"/>
          <c:order val="0"/>
          <c:tx>
            <c:strRef>
              <c:f>Graphs!$A$2</c:f>
              <c:strCache>
                <c:ptCount val="1"/>
                <c:pt idx="0">
                  <c:v>abundance by family</c:v>
                </c:pt>
              </c:strCache>
            </c:strRef>
          </c:tx>
          <c:dLbls>
            <c:numFmt formatCode="0.0%" sourceLinked="0"/>
            <c:dLblPos val="bestFit"/>
            <c:showCatName val="1"/>
            <c:showPercent val="1"/>
            <c:showLeaderLines val="1"/>
          </c:dLbls>
          <c:cat>
            <c:strRef>
              <c:f>[0]!name</c:f>
            </c:strRef>
          </c:cat>
          <c:val>
            <c:numRef>
              <c:f>[0]!abundance</c:f>
              <c:numCache>
                <c:formatCode>General</c:formatCode>
                <c:ptCount val="1"/>
                <c:pt idx="0">
                  <c:v>1</c:v>
                </c:pt>
              </c:numCache>
            </c:numRef>
          </c:val>
        </c:ser>
        <c:dLbls>
          <c:showCatName val="1"/>
          <c:showPercent val="1"/>
        </c:dLbls>
        <c:gapWidth val="100"/>
        <c:secondPieSize val="75"/>
        <c:serLines/>
      </c:ofPieChart>
    </c:plotArea>
    <c:dispBlanksAs val="zero"/>
  </c:chart>
  <c:printSettings>
    <c:headerFooter/>
    <c:pageMargins b="1" l="0.75000000000000089" r="0.75000000000000089"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NZ"/>
  <c:style val="18"/>
  <c:chart>
    <c:title>
      <c:layout/>
    </c:title>
    <c:plotArea>
      <c:layout/>
      <c:ofPieChart>
        <c:ofPieType val="pie"/>
        <c:varyColors val="1"/>
        <c:ser>
          <c:idx val="0"/>
          <c:order val="0"/>
          <c:tx>
            <c:strRef>
              <c:f>Graphs!$D$2</c:f>
              <c:strCache>
                <c:ptCount val="1"/>
                <c:pt idx="0">
                  <c:v>dna by family</c:v>
                </c:pt>
              </c:strCache>
            </c:strRef>
          </c:tx>
          <c:dLbls>
            <c:numFmt formatCode="0.0%" sourceLinked="0"/>
            <c:dLblPos val="bestFit"/>
            <c:showCatName val="1"/>
            <c:showPercent val="1"/>
            <c:showLeaderLines val="1"/>
          </c:dLbls>
          <c:cat>
            <c:strRef>
              <c:f>[0]!name</c:f>
            </c:strRef>
          </c:cat>
          <c:val>
            <c:numRef>
              <c:f>[0]!dna</c:f>
              <c:numCache>
                <c:formatCode>General</c:formatCode>
                <c:ptCount val="1"/>
                <c:pt idx="0">
                  <c:v>1</c:v>
                </c:pt>
              </c:numCache>
            </c:numRef>
          </c:val>
        </c:ser>
        <c:dLbls>
          <c:showCatName val="1"/>
          <c:showPercent val="1"/>
        </c:dLbls>
        <c:gapWidth val="100"/>
        <c:secondPieSize val="75"/>
        <c:serLines/>
      </c:ofPieChart>
    </c:plotArea>
    <c:dispBlanksAs val="zero"/>
  </c:chart>
  <c:printSettings>
    <c:headerFooter/>
    <c:pageMargins b="1" l="0.75000000000000111" r="0.750000000000001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NZ"/>
  <c:style val="18"/>
  <c:chart>
    <c:title>
      <c:tx>
        <c:strRef>
          <c:f>Graphs!$A$2</c:f>
          <c:strCache>
            <c:ptCount val="1"/>
            <c:pt idx="0">
              <c:v>abundance by family</c:v>
            </c:pt>
          </c:strCache>
        </c:strRef>
      </c:tx>
      <c:layout/>
    </c:title>
    <c:plotArea>
      <c:layout>
        <c:manualLayout>
          <c:layoutTarget val="inner"/>
          <c:xMode val="edge"/>
          <c:yMode val="edge"/>
          <c:x val="4.5259830841190854E-2"/>
          <c:y val="1.9354832091424641E-2"/>
          <c:w val="0.95192751428235245"/>
          <c:h val="0.95438596491228056"/>
        </c:manualLayout>
      </c:layout>
      <c:barChart>
        <c:barDir val="col"/>
        <c:grouping val="stacked"/>
        <c:ser>
          <c:idx val="0"/>
          <c:order val="0"/>
          <c:tx>
            <c:strRef>
              <c:f>Graphs!$B$2</c:f>
              <c:strCache>
                <c:ptCount val="1"/>
                <c:pt idx="0">
                  <c:v>abundance-low by family</c:v>
                </c:pt>
              </c:strCache>
            </c:strRef>
          </c:tx>
          <c:cat>
            <c:strRef>
              <c:f>[0]!name</c:f>
            </c:strRef>
          </c:cat>
          <c:val>
            <c:numRef>
              <c:f>[0]!ablo</c:f>
              <c:numCache>
                <c:formatCode>General</c:formatCode>
                <c:ptCount val="1"/>
                <c:pt idx="0">
                  <c:v>1</c:v>
                </c:pt>
              </c:numCache>
            </c:numRef>
          </c:val>
        </c:ser>
        <c:ser>
          <c:idx val="1"/>
          <c:order val="1"/>
          <c:tx>
            <c:strRef>
              <c:f>Graphs!$A$2</c:f>
              <c:strCache>
                <c:ptCount val="1"/>
                <c:pt idx="0">
                  <c:v>abundance by family</c:v>
                </c:pt>
              </c:strCache>
            </c:strRef>
          </c:tx>
          <c:cat>
            <c:multiLvlStrRef>
              <c:f>#REF!</c:f>
            </c:multiLvlStrRef>
          </c:cat>
          <c:val>
            <c:numRef>
              <c:f>[0]!abmid</c:f>
              <c:numCache>
                <c:formatCode>General</c:formatCode>
                <c:ptCount val="1"/>
                <c:pt idx="0">
                  <c:v>1</c:v>
                </c:pt>
              </c:numCache>
            </c:numRef>
          </c:val>
        </c:ser>
        <c:ser>
          <c:idx val="2"/>
          <c:order val="2"/>
          <c:tx>
            <c:strRef>
              <c:f>Graphs!$C$2</c:f>
              <c:strCache>
                <c:ptCount val="1"/>
                <c:pt idx="0">
                  <c:v>abundance-high by family</c:v>
                </c:pt>
              </c:strCache>
            </c:strRef>
          </c:tx>
          <c:cat>
            <c:multiLvlStrRef>
              <c:f>#REF!</c:f>
            </c:multiLvlStrRef>
          </c:cat>
          <c:val>
            <c:numRef>
              <c:f>[0]!abhi</c:f>
              <c:numCache>
                <c:formatCode>General</c:formatCode>
                <c:ptCount val="1"/>
                <c:pt idx="0">
                  <c:v>1</c:v>
                </c:pt>
              </c:numCache>
            </c:numRef>
          </c:val>
        </c:ser>
        <c:overlap val="100"/>
        <c:axId val="68849024"/>
        <c:axId val="68850816"/>
      </c:barChart>
      <c:catAx>
        <c:axId val="68849024"/>
        <c:scaling>
          <c:orientation val="minMax"/>
        </c:scaling>
        <c:axPos val="b"/>
        <c:numFmt formatCode="@" sourceLinked="0"/>
        <c:majorTickMark val="none"/>
        <c:tickLblPos val="nextTo"/>
        <c:txPr>
          <a:bodyPr rot="-5400000" vert="horz" lIns="0" anchor="b" anchorCtr="0">
            <a:noAutofit/>
          </a:bodyPr>
          <a:lstStyle/>
          <a:p>
            <a:pPr>
              <a:defRPr/>
            </a:pPr>
            <a:endParaRPr lang="en-US"/>
          </a:p>
        </c:txPr>
        <c:crossAx val="68850816"/>
        <c:crossesAt val="0.1"/>
        <c:auto val="1"/>
        <c:lblAlgn val="ctr"/>
        <c:lblOffset val="200"/>
      </c:catAx>
      <c:valAx>
        <c:axId val="68850816"/>
        <c:scaling>
          <c:logBase val="10"/>
          <c:orientation val="minMax"/>
        </c:scaling>
        <c:axPos val="l"/>
        <c:majorGridlines/>
        <c:numFmt formatCode="#,##0.0000" sourceLinked="0"/>
        <c:tickLblPos val="nextTo"/>
        <c:crossAx val="68849024"/>
        <c:crosses val="autoZero"/>
        <c:crossBetween val="between"/>
      </c:valAx>
    </c:plotArea>
    <c:dispBlanksAs val="gap"/>
  </c:chart>
  <c:printSettings>
    <c:headerFooter/>
    <c:pageMargins b="1" l="0.75000000000000089" r="0.75000000000000089"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NZ"/>
  <c:style val="18"/>
  <c:chart>
    <c:title>
      <c:tx>
        <c:strRef>
          <c:f>Graphs!$D$2</c:f>
          <c:strCache>
            <c:ptCount val="1"/>
            <c:pt idx="0">
              <c:v>dna by family</c:v>
            </c:pt>
          </c:strCache>
        </c:strRef>
      </c:tx>
      <c:layout/>
    </c:title>
    <c:plotArea>
      <c:layout>
        <c:manualLayout>
          <c:layoutTarget val="inner"/>
          <c:xMode val="edge"/>
          <c:yMode val="edge"/>
          <c:x val="4.5259830841190854E-2"/>
          <c:y val="1.9354832091424641E-2"/>
          <c:w val="0.95192751428235245"/>
          <c:h val="0.95438596491228056"/>
        </c:manualLayout>
      </c:layout>
      <c:barChart>
        <c:barDir val="col"/>
        <c:grouping val="stacked"/>
        <c:ser>
          <c:idx val="0"/>
          <c:order val="0"/>
          <c:tx>
            <c:strRef>
              <c:f>Graphs!$E$2</c:f>
              <c:strCache>
                <c:ptCount val="1"/>
                <c:pt idx="0">
                  <c:v>dna-low by family</c:v>
                </c:pt>
              </c:strCache>
            </c:strRef>
          </c:tx>
          <c:cat>
            <c:strRef>
              <c:f>[0]!name</c:f>
            </c:strRef>
          </c:cat>
          <c:val>
            <c:numRef>
              <c:f>[0]!dnalo</c:f>
              <c:numCache>
                <c:formatCode>General</c:formatCode>
                <c:ptCount val="1"/>
                <c:pt idx="0">
                  <c:v>1</c:v>
                </c:pt>
              </c:numCache>
            </c:numRef>
          </c:val>
        </c:ser>
        <c:ser>
          <c:idx val="1"/>
          <c:order val="1"/>
          <c:tx>
            <c:strRef>
              <c:f>Graphs!$D$2</c:f>
              <c:strCache>
                <c:ptCount val="1"/>
                <c:pt idx="0">
                  <c:v>dna by family</c:v>
                </c:pt>
              </c:strCache>
            </c:strRef>
          </c:tx>
          <c:cat>
            <c:multiLvlStrRef>
              <c:f>#REF!</c:f>
            </c:multiLvlStrRef>
          </c:cat>
          <c:val>
            <c:numRef>
              <c:f>[0]!dnamid</c:f>
              <c:numCache>
                <c:formatCode>General</c:formatCode>
                <c:ptCount val="1"/>
                <c:pt idx="0">
                  <c:v>1</c:v>
                </c:pt>
              </c:numCache>
            </c:numRef>
          </c:val>
        </c:ser>
        <c:ser>
          <c:idx val="2"/>
          <c:order val="2"/>
          <c:tx>
            <c:strRef>
              <c:f>Graphs!$F$2</c:f>
              <c:strCache>
                <c:ptCount val="1"/>
                <c:pt idx="0">
                  <c:v>dna-high by family</c:v>
                </c:pt>
              </c:strCache>
            </c:strRef>
          </c:tx>
          <c:cat>
            <c:multiLvlStrRef>
              <c:f>#REF!</c:f>
            </c:multiLvlStrRef>
          </c:cat>
          <c:val>
            <c:numRef>
              <c:f>[0]!dnahi</c:f>
              <c:numCache>
                <c:formatCode>General</c:formatCode>
                <c:ptCount val="1"/>
                <c:pt idx="0">
                  <c:v>1</c:v>
                </c:pt>
              </c:numCache>
            </c:numRef>
          </c:val>
        </c:ser>
        <c:overlap val="100"/>
        <c:axId val="68888448"/>
        <c:axId val="68889984"/>
      </c:barChart>
      <c:catAx>
        <c:axId val="68888448"/>
        <c:scaling>
          <c:orientation val="minMax"/>
        </c:scaling>
        <c:axPos val="b"/>
        <c:numFmt formatCode="@" sourceLinked="0"/>
        <c:majorTickMark val="none"/>
        <c:tickLblPos val="nextTo"/>
        <c:txPr>
          <a:bodyPr rot="-5400000" vert="horz" lIns="0" anchor="b" anchorCtr="0">
            <a:noAutofit/>
          </a:bodyPr>
          <a:lstStyle/>
          <a:p>
            <a:pPr>
              <a:defRPr/>
            </a:pPr>
            <a:endParaRPr lang="en-US"/>
          </a:p>
        </c:txPr>
        <c:crossAx val="68889984"/>
        <c:crossesAt val="0.1"/>
        <c:auto val="1"/>
        <c:lblAlgn val="ctr"/>
        <c:lblOffset val="200"/>
      </c:catAx>
      <c:valAx>
        <c:axId val="68889984"/>
        <c:scaling>
          <c:logBase val="10"/>
          <c:orientation val="minMax"/>
        </c:scaling>
        <c:axPos val="l"/>
        <c:majorGridlines/>
        <c:numFmt formatCode="#,##0.0000" sourceLinked="0"/>
        <c:tickLblPos val="nextTo"/>
        <c:crossAx val="68888448"/>
        <c:crosses val="autoZero"/>
        <c:crossBetween val="between"/>
      </c:valAx>
    </c:plotArea>
    <c:dispBlanksAs val="gap"/>
  </c:chart>
  <c:printSettings>
    <c:headerFooter/>
    <c:pageMargins b="1" l="0.75000000000000111" r="0.75000000000000111"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17319</xdr:colOff>
      <xdr:row>2</xdr:row>
      <xdr:rowOff>25108</xdr:rowOff>
    </xdr:from>
    <xdr:to>
      <xdr:col>12</xdr:col>
      <xdr:colOff>346365</xdr:colOff>
      <xdr:row>39</xdr:row>
      <xdr:rowOff>94379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571500</xdr:colOff>
      <xdr:row>2</xdr:row>
      <xdr:rowOff>25108</xdr:rowOff>
    </xdr:from>
    <xdr:to>
      <xdr:col>25</xdr:col>
      <xdr:colOff>69274</xdr:colOff>
      <xdr:row>39</xdr:row>
      <xdr:rowOff>94379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xdr:colOff>
      <xdr:row>40</xdr:row>
      <xdr:rowOff>42426</xdr:rowOff>
    </xdr:from>
    <xdr:to>
      <xdr:col>12</xdr:col>
      <xdr:colOff>381001</xdr:colOff>
      <xdr:row>68</xdr:row>
      <xdr:rowOff>81969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571499</xdr:colOff>
      <xdr:row>40</xdr:row>
      <xdr:rowOff>34636</xdr:rowOff>
    </xdr:from>
    <xdr:to>
      <xdr:col>25</xdr:col>
      <xdr:colOff>103910</xdr:colOff>
      <xdr:row>68</xdr:row>
      <xdr:rowOff>74179</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OnLoad="1" refreshedBy="rossb" refreshedDate="41317.704864699073" createdVersion="3" refreshedVersion="3" minRefreshableVersion="3" recordCount="1">
  <cacheSource type="worksheet">
    <worksheetSource name="Table1"/>
  </cacheSource>
  <cacheFields count="23">
    <cacheField name="abundance" numFmtId="0">
      <sharedItems containsNonDate="0" containsString="0" containsBlank="1" containsNumber="1" minValue="1.004E-6" maxValue="1" count="176">
        <m/>
        <n v="1.181E-4" u="1"/>
        <n v="9.0139999999999994E-3" u="1"/>
        <n v="0.15140000000000001" u="1"/>
        <n v="0.83979999999999999" u="1"/>
        <n v="1.4219999999999999E-4" u="1"/>
        <n v="1.428E-3" u="1"/>
        <n v="4.4019999999999997E-3" u="1"/>
        <n v="3.2300000000000002E-2" u="1"/>
        <n v="0.95079999999999998" u="1"/>
        <n v="2.3960000000000001E-5" u="1"/>
        <n v="8.2510000000000005E-4" u="1"/>
        <n v="4.5140000000000002E-4" u="1"/>
        <n v="3.96E-3" u="1"/>
        <n v="6.6269999999999996E-2" u="1"/>
        <n v="6.7529999999999999E-5" u="1"/>
        <n v="1.099E-4" u="1"/>
        <n v="2.5929999999999998E-3" u="1"/>
        <n v="8.5489999999999993E-3" u="1"/>
        <n v="3.1429999999999998E-6" u="1"/>
        <n v="2.4369999999999999E-3" u="1"/>
        <n v="0.43219999999999997" u="1"/>
        <n v="1.004E-6" u="1"/>
        <n v="4.8489999999999997E-6" u="1"/>
        <n v="8.7819999999999996E-5" u="1"/>
        <n v="1.4239999999999999E-3" u="1"/>
        <n v="4.0099999999999997E-6" u="1"/>
        <n v="4.0639999999999997E-5" u="1"/>
        <n v="1.6689999999999999E-4" u="1"/>
        <n v="1.404E-2" u="1"/>
        <n v="0.16309999999999999" u="1"/>
        <n v="0.39179999999999998" u="1"/>
        <n v="0.5171" u="1"/>
        <n v="2.9129999999999999E-6" u="1"/>
        <n v="6.321E-5" u="1"/>
        <n v="3.4420000000000002E-4" u="1"/>
        <n v="8.4959999999999996E-6" u="1"/>
        <n v="4.3479999999999997E-5" u="1"/>
        <n v="1.9780000000000002E-3" u="1"/>
        <n v="0.6875" u="1"/>
        <n v="2.5850000000000001E-3" u="1"/>
        <n v="6.633E-2" u="1"/>
        <n v="1.2310000000000001E-5" u="1"/>
        <n v="1.9530000000000001E-3" u="1"/>
        <n v="8.5170000000000003E-3" u="1"/>
        <n v="9.0039999999999999E-3" u="1"/>
        <n v="0.1232" u="1"/>
        <n v="0.34200000000000003" u="1"/>
        <n v="1.181E-5" u="1"/>
        <n v="2.2929999999999999E-5" u="1"/>
        <n v="7.8330000000000004E-5" u="1"/>
        <n v="3.1579999999999998E-4" u="1"/>
        <n v="3.6450000000000002E-4" u="1"/>
        <n v="0.1004" u="1"/>
        <n v="3.9249999999999999E-5" u="1"/>
        <n v="7.8910000000000002E-5" u="1"/>
        <n v="1.7469999999999999E-2" u="1"/>
        <n v="0.1045" u="1"/>
        <n v="0.25940000000000002" u="1"/>
        <n v="7.4129999999999997E-5" u="1"/>
        <n v="2.0799999999999998E-3" u="1"/>
        <n v="2.3280000000000002E-3" u="1"/>
        <n v="3.6990000000000003E-5" u="1"/>
        <n v="5.5570000000000001E-4" u="1"/>
        <n v="1.9789999999999999E-3" u="1"/>
        <n v="0.161" u="1"/>
        <n v="0.69010000000000005" u="1"/>
        <n v="4.9620000000000003E-5" u="1"/>
        <n v="1.97E-3" u="1"/>
        <n v="3.2910000000000002E-2" u="1"/>
        <n v="3.4049999999999997E-2" u="1"/>
        <n v="4.2520000000000002E-2" u="1"/>
        <n v="0.13220000000000001" u="1"/>
        <n v="2.8019999999999998E-4" u="1"/>
        <n v="5.9360000000000001E-4" u="1"/>
        <n v="2.2829999999999999E-3" u="1"/>
        <n v="7.1359999999999994E-5" u="1"/>
        <n v="6.378E-4" u="1"/>
        <n v="2.3289999999999999E-3" u="1"/>
        <n v="4.4060000000000002E-3" u="1"/>
        <n v="0.12959999999999999" u="1"/>
        <n v="1.064E-5" u="1"/>
        <n v="8.2669999999999993E-2" u="1"/>
        <n v="1.127E-4" u="1"/>
        <n v="2.1019999999999999E-4" u="1"/>
        <n v="1.9989999999999999E-3" u="1"/>
        <n v="1.5660000000000001E-4" u="1"/>
        <n v="5.1529999999999996E-3" u="1"/>
        <n v="1.5129999999999999E-4" u="1"/>
        <n v="1.5349999999999999E-4" u="1"/>
        <n v="1.1180000000000001E-2" u="1"/>
        <n v="2.8559999999999999E-2" u="1"/>
        <n v="1.3200000000000001E-6" u="1"/>
        <n v="6.936E-5" u="1"/>
        <n v="0.15160000000000001" u="1"/>
        <n v="1.169E-4" u="1"/>
        <n v="0.84840000000000004" u="1"/>
        <n v="3.793E-4" u="1"/>
        <n v="2.9690000000000001E-4" u="1"/>
        <n v="2.588E-3" u="1"/>
        <n v="4.1970000000000002E-3" u="1"/>
        <n v="9.365E-5" u="1"/>
        <n v="2.6340000000000001E-3" u="1"/>
        <n v="1.7010000000000001E-2" u="1"/>
        <n v="2.9550000000000002E-3" u="1"/>
        <n v="6.0059999999999998E-5" u="1"/>
        <n v="3.7360000000000002E-3" u="1"/>
        <n v="3.1640000000000002E-5" u="1"/>
        <n v="5.0819999999999999E-4" u="1"/>
        <n v="1.389E-3" u="1"/>
        <n v="2.3670000000000001E-4" u="1"/>
        <n v="1.034E-2" u="1"/>
        <n v="4.5800000000000002E-4" u="1"/>
        <n v="2.6880000000000001E-2" u="1"/>
        <n v="0.82230000000000003" u="1"/>
        <n v="2.8750000000000001E-5" u="1"/>
        <n v="3.9619999999999997E-5" u="1"/>
        <n v="2.5169999999999999E-4" u="1"/>
        <n v="1.1869999999999999E-3" u="1"/>
        <n v="0.2157" u="1"/>
        <n v="8.9590000000000001E-5" u="1"/>
        <n v="4.4209999999999996E-3" u="1"/>
        <n v="5.6570000000000004E-4" u="1"/>
        <n v="1" u="1"/>
        <n v="3.7100000000000001E-5" u="1"/>
        <n v="5.5060000000000005E-4" u="1"/>
        <n v="1.964E-3" u="1"/>
        <n v="1.7479999999999999E-2" u="1"/>
        <n v="0.16889999999999999" u="1"/>
        <n v="1.9369999999999999E-4" u="1"/>
        <n v="3.039E-3" u="1"/>
        <n v="4.5869999999999999E-3" u="1"/>
        <n v="4.26E-4" u="1"/>
        <n v="4.5149999999999999E-3" u="1"/>
        <n v="1.477E-3" u="1"/>
        <n v="7.0600000000000003E-3" u="1"/>
        <n v="5.3060000000000003E-2" u="1"/>
        <n v="1.804E-6" u="1"/>
        <n v="1.877E-3" u="1"/>
        <n v="8.0859999999999994E-3" u="1"/>
        <n v="0.2016" u="1"/>
        <n v="5.7650000000000002E-3" u="1"/>
        <n v="4.9149999999999999E-2" u="1"/>
        <n v="1.1790000000000001E-5" u="1"/>
        <n v="2.5769999999999998E-4" u="1"/>
        <n v="9.6029999999999998E-4" u="1"/>
        <n v="1.9009999999999999E-2" u="1"/>
        <n v="0.1231" u="1"/>
        <n v="1.0640000000000001E-3" u="1"/>
        <n v="8.5299999999999994E-3" u="1"/>
        <n v="1.738E-2" u="1"/>
        <n v="2.699E-2" u="1"/>
        <n v="6.999E-3" u="1"/>
        <n v="4.3999999999999997E-2" u="1"/>
        <n v="5.9800000000000001E-4" u="1"/>
        <n v="2.5240000000000001E-4" u="1"/>
        <n v="1.7369999999999999E-4" u="1"/>
        <n v="0.16900000000000001" u="1"/>
        <n v="0.13200000000000001" u="1"/>
        <n v="1.8360000000000001E-6" u="1"/>
        <n v="7.1180000000000002E-3" u="1"/>
        <n v="1.7949999999999999E-3" u="1"/>
        <n v="1.967E-3" u="1"/>
        <n v="1.595E-4" u="1"/>
        <n v="3.346E-4" u="1"/>
        <n v="7.7930000000000002E-4" u="1"/>
        <n v="1.111E-2" u="1"/>
        <n v="5.3159999999999999E-5" u="1"/>
        <n v="1.5589999999999999E-4" u="1"/>
        <n v="1.639E-4" u="1"/>
        <n v="9.6619999999999996E-4" u="1"/>
        <n v="3.2810000000000001E-3" u="1"/>
        <n v="1.405E-2" u="1"/>
        <n v="9.9419999999999999E-4" u="1"/>
        <n v="1.119E-4" u="1"/>
        <n v="7.1199999999999996E-3" u="1"/>
      </sharedItems>
    </cacheField>
    <cacheField name="ab-lo" numFmtId="0">
      <sharedItems containsNonDate="0" containsString="0" containsBlank="1" containsNumber="1" minValue="6.0959999999999995E-7" maxValue="0.99909999999999999" count="183">
        <m/>
        <n v="2.9510000000000001E-3" u="1"/>
        <n v="0.1686" u="1"/>
        <n v="3.5790000000000001E-5" u="1"/>
        <n v="5.3919999999999999E-4" u="1"/>
        <n v="2.3080000000000002E-3" u="1"/>
        <n v="5.6619999999999997E-5" u="1"/>
        <n v="3.9209999999999999E-4" u="1"/>
        <n v="1.9380000000000001E-3" u="1"/>
        <n v="2.1789999999999999E-3" u="1"/>
        <n v="0.39129999999999998" u="1"/>
        <n v="1.4349999999999999E-4" u="1"/>
        <n v="1.4789999999999999E-4" u="1"/>
        <n v="3.5389999999999998E-4" u="1"/>
        <n v="1.1479999999999999E-3" u="1"/>
        <n v="3.405E-6" u="1"/>
        <n v="4.3660000000000001E-3" u="1"/>
        <n v="8.4049999999999993E-3" u="1"/>
        <n v="1.027E-2" u="1"/>
        <n v="1.0280000000000001E-4" u="1"/>
        <n v="5.2229999999999996E-4" u="1"/>
        <n v="2.674E-2" u="1"/>
        <n v="0.1295" u="1"/>
        <n v="9.2099999999999999E-6" u="1"/>
        <n v="3.6310000000000003E-5" u="1"/>
        <n v="2.5479999999999999E-3" u="1"/>
        <n v="3.1359999999999999E-3" u="1"/>
        <n v="1.8890000000000001E-2" u="1"/>
        <n v="4.8939999999999997E-2" u="1"/>
        <n v="4.3480000000000003E-3" u="1"/>
        <n v="4.5409999999999999E-3" u="1"/>
        <n v="1.7260000000000001E-2" u="1"/>
        <n v="1.2190000000000001E-6" u="1"/>
        <n v="2.7240000000000001E-4" u="1"/>
        <n v="1.8469999999999999E-3" u="1"/>
        <n v="1.585E-4" u="1"/>
        <n v="1.7389999999999999E-2" u="1"/>
        <n v="5.8789999999999998E-5" u="1"/>
        <n v="2.342E-4" u="1"/>
        <n v="0.16869999999999999" u="1"/>
        <n v="1.6899999999999998E-2" u="1"/>
        <n v="7.8679999999999999E-6" u="1"/>
        <n v="1.9880000000000002E-3" u="1"/>
        <n v="0.13170000000000001" u="1"/>
        <n v="0.43140000000000001" u="1"/>
        <n v="1.2929999999999999E-6" u="1"/>
        <n v="2.7840000000000001E-5" u="1"/>
        <n v="9.1570000000000006E-5" u="1"/>
        <n v="1.3950000000000001E-2" u="1"/>
        <n v="2.1350000000000001E-5" u="1"/>
        <n v="6.7739999999999999E-5" u="1"/>
        <n v="2.3930000000000002E-3" u="1"/>
        <n v="2.5400000000000002E-3" u="1"/>
        <n v="6.087E-4" u="1"/>
        <n v="1.944E-3" u="1"/>
        <n v="6.1290000000000001E-6" u="1"/>
        <n v="3.5830000000000001E-5" u="1"/>
        <n v="5.876E-5" u="1"/>
        <n v="1.9300000000000001E-3" u="1"/>
        <n v="2.7480000000000002E-6" u="1"/>
        <n v="2.475E-4" u="1"/>
        <n v="5.731E-4" u="1"/>
        <n v="4.352E-3" u="1"/>
        <n v="2.6849999999999999E-2" u="1"/>
        <n v="0.15110000000000001" u="1"/>
        <n v="5.6879999999999995E-4" u="1"/>
        <n v="6.9890000000000004E-3" u="1"/>
        <n v="2.843E-2" u="1"/>
        <n v="0.12280000000000001" u="1"/>
        <n v="2.3949999999999999E-5" u="1"/>
        <n v="7.1169999999999998E-5" u="1"/>
        <n v="7.6790000000000002E-5" u="1"/>
        <n v="1.9350000000000001E-3" u="1"/>
        <n v="1.5129999999999999E-4" u="1"/>
        <n v="0.99909999999999999" u="1"/>
        <n v="5.8730000000000002E-5" u="1"/>
        <n v="7.7700000000000005E-5" u="1"/>
        <n v="0.82130000000000003" u="1"/>
        <n v="1.929E-4" u="1"/>
        <n v="9.3519999999999996E-4" u="1"/>
        <n v="1.9449999999999999E-3" u="1"/>
        <n v="2.588E-3" u="1"/>
        <n v="1.3939999999999999E-2" u="1"/>
        <n v="4.2320000000000003E-2" u="1"/>
        <n v="0.84740000000000004" u="1"/>
        <n v="1.9069999999999999E-6" u="1"/>
        <n v="3.5349999999999999E-5" u="1"/>
        <n v="1.444E-3" u="1"/>
        <n v="3.7910000000000001E-3" u="1"/>
        <n v="1.8810000000000001E-6" u="1"/>
        <n v="0.1226" u="1"/>
        <n v="6.0959999999999995E-7" u="1"/>
        <n v="8.1899999999999999E-5" u="1"/>
        <n v="1.0069999999999999E-4" u="1"/>
        <n v="4.3770000000000001E-4" u="1"/>
        <n v="7.0650000000000001E-3" u="1"/>
        <n v="8.0239999999999999E-3" u="1"/>
        <n v="7.1180000000000006E-5" u="1"/>
        <n v="1.302E-3" u="1"/>
        <n v="4.4479999999999997E-3" u="1"/>
        <n v="5.6870000000000002E-3" u="1"/>
        <n v="0.1628" u="1"/>
        <n v="1.325E-3" u="1"/>
        <n v="2.1900000000000001E-4" u="1"/>
        <n v="2.987E-4" u="1"/>
        <n v="9.2869999999999997E-4" u="1"/>
        <n v="7.4079999999999996E-7" u="1"/>
        <n v="4.511E-5" u="1"/>
        <n v="8.2390000000000005E-2" u="1"/>
        <n v="0.95" u="1"/>
        <n v="7.2150000000000005E-5" u="1"/>
        <n v="0.21529999999999999" u="1"/>
        <n v="7.0670000000000004E-3" u="1"/>
        <n v="6.6040000000000001E-2" u="1"/>
        <n v="4.1180000000000001E-3" u="1"/>
        <n v="8.4970000000000001E-6" u="1"/>
        <n v="5.2410000000000001E-5" u="1"/>
        <n v="1.1039999999999999E-2" u="1"/>
        <n v="6.6100000000000006E-2" u="1"/>
        <n v="0.16070000000000001" u="1"/>
        <n v="1.996E-6" u="1"/>
        <n v="4.7339999999999997E-5" u="1"/>
        <n v="3.3000000000000003E-5" u="1"/>
        <n v="1.0399999999999999E-4" u="1"/>
        <n v="1.702E-3" u="1"/>
        <n v="2.5430000000000001E-3" u="1"/>
        <n v="3.2570000000000002E-2" u="1"/>
        <n v="0.13150000000000001" u="1"/>
        <n v="1.8479999999999999E-4" u="1"/>
        <n v="8.4430000000000009E-3" u="1"/>
        <n v="3.3939999999999998E-2" u="1"/>
        <n v="0.51629999999999998" u="1"/>
        <n v="4.3750000000000001E-4" u="1"/>
        <n v="5.2289999999999997E-4" u="1"/>
        <n v="1.353E-3" u="1"/>
        <n v="8.8940000000000009E-3" u="1"/>
        <n v="0.99890000000000001" u="1"/>
        <n v="6.1249999999999998E-5" u="1"/>
        <n v="1.112E-2" u="1"/>
        <n v="0.68669999999999998" u="1"/>
        <n v="3.578E-5" u="1"/>
        <n v="9.5149999999999998E-4" u="1"/>
        <n v="4.5049999999999997E-5" u="1"/>
        <n v="3.2229999999999997E-4" u="1"/>
        <n v="0.15090000000000001" u="1"/>
        <n v="0.34160000000000001" u="1"/>
        <n v="7.2919999999999998E-6" u="1"/>
        <n v="2.3350000000000001E-4" u="1"/>
        <n v="2.9220000000000001E-3" u="1"/>
        <n v="1.738E-2" u="1"/>
        <n v="0.10009999999999999" u="1"/>
        <n v="0.25900000000000001" u="1"/>
        <n v="2.3649999999999999E-5" u="1"/>
        <n v="6.914E-3" u="1"/>
        <n v="1.863E-5" u="1"/>
        <n v="1.3119999999999999E-4" u="1"/>
        <n v="1.4139999999999999E-4" u="1"/>
        <n v="3.5149999999999998E-4" u="1"/>
        <n v="7.5040000000000003E-4" u="1"/>
        <n v="6.3059999999999996E-5" u="1"/>
        <n v="4.8519999999999998E-4" u="1"/>
        <n v="2.496E-4" u="1"/>
        <n v="5.289E-2" u="1"/>
        <n v="1.9189999999999999E-3" u="1"/>
        <n v="3.175E-2" u="1"/>
        <n v="0.83879999999999999" u="1"/>
        <n v="1.967E-3" u="1"/>
        <n v="1.0189999999999999E-3" u="1"/>
        <n v="2.307E-3" u="1"/>
        <n v="8.8839999999999995E-3" u="1"/>
        <n v="3.676E-3" u="1"/>
        <n v="0.68920000000000003" u="1"/>
        <n v="1.462E-4" u="1"/>
        <n v="5.0800000000000003E-3" u="1"/>
        <n v="0.104" u="1"/>
        <n v="3.0910000000000001E-5" u="1"/>
        <n v="9.0130000000000006E-5" u="1"/>
        <n v="1.484E-4" u="1"/>
        <n v="7.9259999999999997E-4" u="1"/>
        <n v="8.4370000000000001E-3" u="1"/>
        <n v="4.3799999999999999E-2" u="1"/>
        <n v="0.20130000000000001" u="1"/>
        <n v="8.738E-6" u="1"/>
      </sharedItems>
    </cacheField>
    <cacheField name="ab-hi" numFmtId="0">
      <sharedItems containsNonDate="0" containsString="0" containsBlank="1" containsNumber="1" minValue="1.652E-6" maxValue="1" count="185">
        <m/>
        <n v="4.9369999999999997E-2" u="1"/>
        <n v="2.8240000000000001E-5" u="1"/>
        <n v="1.511E-3" u="1"/>
        <n v="2.4819999999999998E-3" u="1"/>
        <n v="8.2949999999999996E-2" u="1"/>
        <n v="4.4249999999999998E-5" u="1"/>
        <n v="2.0140000000000002E-3" u="1"/>
        <n v="3.797E-3" u="1"/>
        <n v="1.9120000000000002E-2" u="1"/>
        <n v="5.8510000000000004E-6" u="1"/>
        <n v="2.5569999999999998E-4" u="1"/>
        <n v="3.7790000000000002E-4" u="1"/>
        <n v="8.0929999999999999E-4" u="1"/>
        <n v="1.7489999999999999E-2" u="1"/>
        <n v="3.4499999999999998E-5" u="1"/>
        <n v="1.3860000000000001E-4" u="1"/>
        <n v="4.6289999999999998E-4" u="1"/>
        <n v="1.4970000000000001E-3" u="1"/>
        <n v="2.032E-3" u="1"/>
        <n v="2.9880000000000002E-3" u="1"/>
        <n v="2.6389999999999999E-3" u="1"/>
        <n v="0.10059999999999999" u="1"/>
        <n v="0.10489999999999999" u="1"/>
        <n v="6.2399999999999999E-4" u="1"/>
        <n v="1.5659999999999999E-3" u="1"/>
        <n v="2.3909999999999999E-3" u="1"/>
        <n v="4.4759999999999999E-3" u="1"/>
        <n v="9.925E-5" u="1"/>
        <n v="0.84079999999999999" u="1"/>
        <n v="5.1830000000000002E-6" u="1"/>
        <n v="4.6549999999999998E-4" u="1"/>
        <n v="0.25969999999999999" u="1"/>
        <n v="4.4580000000000002E-3" u="1"/>
        <n v="1.5970000000000001E-5" u="1"/>
        <n v="1.3899999999999999E-4" u="1"/>
        <n v="5.9040000000000004E-4" u="1"/>
        <n v="1.9870000000000001E-3" u="1"/>
        <n v="6.7990000000000005E-5" u="1"/>
        <n v="5.4589999999999997E-5" u="1"/>
        <n v="6.1950000000000004E-4" u="1"/>
        <n v="8.149E-3" u="1"/>
        <n v="1.04E-2" u="1"/>
        <n v="4.2760000000000003E-3" u="1"/>
        <n v="0.15190000000000001" u="1"/>
        <n v="5.2750000000000001E-5" u="1"/>
        <n v="3.2370000000000001E-4" u="1"/>
        <n v="5.8049999999999996E-4" u="1"/>
        <n v="1.8929999999999999E-3" u="1"/>
        <n v="2.6310000000000001E-3" u="1"/>
        <n v="8.6180000000000007E-3" u="1"/>
        <n v="1.7569999999999999E-2" u="1"/>
        <n v="6.6819999999999998E-4" u="1"/>
        <n v="0.216" u="1"/>
        <n v="1.227E-3" u="1"/>
        <n v="1.457E-3" u="1"/>
        <n v="0.16139999999999999" u="1"/>
        <n v="6.9059999999999996E-6" u="1"/>
        <n v="4.303E-5" u="1"/>
        <n v="8.6210000000000003E-5" u="1"/>
        <n v="8.9959999999999999E-5" u="1"/>
        <n v="1.3410000000000001E-4" u="1"/>
        <n v="1.54E-4" u="1"/>
        <n v="1.6200000000000001E-4" u="1"/>
        <n v="1.039E-3" u="1"/>
        <n v="1.6420000000000001E-4" u="1"/>
        <n v="7.4460000000000002E-5" u="1"/>
        <n v="1.198E-4" u="1"/>
        <n v="1.9980000000000002E-3" u="1"/>
        <n v="0.1326" u="1"/>
        <n v="3.5960000000000001E-5" u="1"/>
        <n v="4.4619999999999998E-3" u="1"/>
        <n v="1.8100000000000001E-4" u="1"/>
        <n v="0.34250000000000003" u="1"/>
        <n v="8.6619999999999996E-3" u="1"/>
        <n v="0.95169999999999999" u="1"/>
        <n v="1.9029999999999999E-4" u="1"/>
        <n v="5.4660000000000002E-5" u="1"/>
        <n v="5.934E-4" u="1"/>
        <n v="9.9299999999999996E-4" u="1"/>
        <n v="1.9989999999999999E-3" u="1"/>
        <n v="8.1119999999999996E-5" u="1"/>
        <n v="2.7029999999999998E-2" u="1"/>
        <n v="8.6219999999999998E-5" u="1"/>
        <n v="2.5179999999999999E-6" u="1"/>
        <n v="4.1709999999999999E-5" u="1"/>
        <n v="3.4329999999999999E-3" u="1"/>
        <n v="0.16919999999999999" u="1"/>
        <n v="4.794E-4" u="1"/>
        <n v="4.4209999999999999E-2" u="1"/>
        <n v="6.651E-2" u="1"/>
        <n v="4.549E-5" u="1"/>
        <n v="2.869E-2" u="1"/>
        <n v="3.13E-3" u="1"/>
        <n v="5.2269999999999999E-3" u="1"/>
        <n v="1.4160000000000001E-2" u="1"/>
        <n v="2.031E-4" u="1"/>
        <n v="8.5899999999999995E-4" u="1"/>
        <n v="6.6570000000000004E-2" u="1"/>
        <n v="0.69099999999999995" u="1"/>
        <n v="1.1780000000000001E-5" u="1"/>
        <n v="2.6889999999999998E-5" u="1"/>
        <n v="2.7129999999999998E-4" u="1"/>
        <n v="2.6340000000000001E-3" u="1"/>
        <n v="4.5830000000000003E-3" u="1"/>
        <n v="5.8440000000000002E-3" u="1"/>
        <n v="8.6300000000000005E-3" u="1"/>
        <n v="1.7579999999999998E-2" u="1"/>
        <n v="5.2530000000000004E-6" u="1"/>
        <n v="6.7949999999999998E-5" u="1"/>
        <n v="2.6800000000000001E-3" u="1"/>
        <n v="0.68840000000000001" u="1"/>
        <n v="1.906E-5" u="1"/>
        <n v="1.663E-4" u="1"/>
        <n v="4.0670000000000002E-4" u="1"/>
        <n v="5.323E-2" u="1"/>
        <n v="0.84940000000000004" u="1"/>
        <n v="1.438E-5" u="1"/>
        <n v="1.6460000000000002E-5" u="1"/>
        <n v="1.142E-4" u="1"/>
        <n v="7.0850000000000002E-3" u="1"/>
        <n v="4.1359999999999999E-3" u="1"/>
        <n v="3.146E-4" u="1"/>
        <n v="1.1169999999999999E-2" u="1"/>
        <n v="0.51790000000000003" u="1"/>
        <n v="3.748E-4" u="1"/>
        <n v="0.1237" u="1"/>
        <n v="0.20200000000000001" u="1"/>
        <n v="1" u="1"/>
        <n v="1.643E-5" u="1"/>
        <n v="0.1235" u="1"/>
        <n v="2.3520000000000001E-6" u="1"/>
        <n v="4.2520000000000001E-6" u="1"/>
        <n v="2.72E-4" u="1"/>
        <n v="3.6759999999999999E-4" u="1"/>
        <n v="1.4149999999999999E-2" u="1"/>
        <n v="2.7140000000000001E-2" u="1"/>
        <n v="0.15210000000000001" u="1"/>
        <n v="0.16930000000000001" u="1"/>
        <n v="7.6290000000000003E-5" u="1"/>
        <n v="4.6340000000000001E-3" u="1"/>
        <n v="0.43309999999999998" u="1"/>
        <n v="6.8020000000000003E-5" u="1"/>
        <n v="1.884E-4" u="1"/>
        <n v="2.3500000000000001E-3" u="1"/>
        <n v="9.1249999999999994E-3" u="1"/>
        <n v="0.82330000000000003" u="1"/>
        <n v="7.1320000000000003E-3" u="1"/>
        <n v="5.9710000000000003E-5" u="1"/>
        <n v="1.9090000000000001E-3" u="1"/>
        <n v="3.4940000000000001E-5" u="1"/>
        <n v="2.1770000000000001E-3" u="1"/>
        <n v="2.3509999999999998E-3" u="1"/>
        <n v="1.652E-6" u="1"/>
        <n v="6.881E-5" u="1"/>
        <n v="9.136E-3" u="1"/>
        <n v="4.2729999999999997E-2" u="1"/>
        <n v="0.1298" u="1"/>
        <n v="1.6530000000000001E-4" u="1"/>
        <n v="7.1720000000000004E-3" u="1"/>
        <n v="3.3250000000000002E-2" u="1"/>
        <n v="0.39240000000000003" u="1"/>
        <n v="8.6310000000000005E-5" u="1"/>
        <n v="1.1100000000000001E-3" u="1"/>
        <n v="1.125E-2" u="1"/>
        <n v="3.3379999999999998E-4" u="1"/>
        <n v="9.9820000000000009E-4" u="1"/>
        <n v="1.712E-2" u="1"/>
        <n v="7.1739999999999998E-3" u="1"/>
        <n v="0.13239999999999999" u="1"/>
        <n v="2.003E-3" u="1"/>
        <n v="3.286E-2" u="1"/>
        <n v="9.8010000000000005E-5" u="1"/>
        <n v="2.2900000000000001E-4" u="1"/>
        <n v="2.6830000000000002E-4" u="1"/>
        <n v="5.3240000000000004E-4" u="1"/>
        <n v="4.3050000000000003E-5" u="1"/>
        <n v="4.4409999999999997E-5" u="1"/>
        <n v="2.013E-3" u="1"/>
        <n v="0.16339999999999999" u="1"/>
        <n v="2.7650000000000002E-6" u="1"/>
        <n v="3.4160000000000003E-2" u="1"/>
        <n v="1.683E-4" u="1"/>
        <n v="1.329E-4" u="1"/>
        <n v="1.0410000000000001E-2" u="1"/>
      </sharedItems>
    </cacheField>
    <cacheField name="dna" numFmtId="0">
      <sharedItems containsNonDate="0" containsString="0" containsBlank="1" containsNumber="1" minValue="1.773E-6" maxValue="1" count="175">
        <m/>
        <n v="2.2430000000000002E-3" u="1"/>
        <n v="5.327E-6" u="1"/>
        <n v="1.093E-2" u="1"/>
        <n v="2.368E-6" u="1"/>
        <n v="0.79339999999999999" u="1"/>
        <n v="4.934E-3" u="1"/>
        <n v="5.2690000000000001E-2" u="1"/>
        <n v="2.9329999999999998E-3" u="1"/>
        <n v="7.4929999999999997E-2" u="1"/>
        <n v="6.5729999999999996E-5" u="1"/>
        <n v="1.5320000000000001E-4" u="1"/>
        <n v="3.6279999999999998E-4" u="1"/>
        <n v="9.3109999999999995E-5" u="1"/>
        <n v="2.0900000000000001E-4" u="1"/>
        <n v="0.25109999999999999" u="1"/>
        <n v="9.234E-5" u="1"/>
        <n v="3.2829999999999999E-3" u="1"/>
        <n v="0.35349999999999998" u="1"/>
        <n v="2.2179999999999998E-2" u="1"/>
        <n v="2.1559999999999999E-2" u="1"/>
        <n v="2.833E-3" u="1"/>
        <n v="1.0880000000000001E-2" u="1"/>
        <n v="2.801E-2" u="1"/>
        <n v="2.604E-3" u="1"/>
        <n v="5.7460000000000002E-3" u="1"/>
        <n v="6.8589999999999996E-3" u="1"/>
        <n v="1.8010000000000002E-2" u="1"/>
        <n v="3.2640000000000002E-4" u="1"/>
        <n v="4.7309999999999998E-2" u="1"/>
        <n v="7.0060000000000003E-5" u="1"/>
        <n v="5.3269999999999999E-4" u="1"/>
        <n v="3.024E-2" u="1"/>
        <n v="0.27660000000000001" u="1"/>
        <n v="6.2310000000000005E-5" u="1"/>
        <n v="2.7690000000000002E-3" u="1"/>
        <n v="2.0240000000000001E-2" u="1"/>
        <n v="6.6909999999999997E-2" u="1"/>
        <n v="0.1032" u="1"/>
        <n v="4.439E-5" u="1"/>
        <n v="7.8720000000000005E-5" u="1"/>
        <n v="9.9390000000000004E-4" u="1"/>
        <n v="2.2460000000000002E-3" u="1"/>
        <n v="5.3010000000000002E-2" u="1"/>
        <n v="3.5329999999999999E-6" u="1"/>
        <n v="4.9910000000000002E-5" u="1"/>
        <n v="2.0320000000000001E-2" u="1"/>
        <n v="2.8709999999999999E-3" u="1"/>
        <n v="5.4900000000000001E-3" u="1"/>
        <n v="2.652E-4" u="1"/>
        <n v="1.2210000000000001E-4" u="1"/>
        <n v="2.1819999999999999E-4" u="1"/>
        <n v="1.5950000000000001E-3" u="1"/>
        <n v="1.7239999999999998E-2" u="1"/>
        <n v="0.60560000000000003" u="1"/>
        <n v="1.3860000000000001E-2" u="1"/>
        <n v="2.66E-3" u="1"/>
        <n v="2.7799999999999999E-3" u="1"/>
        <n v="4.9129999999999998E-3" u="1"/>
        <n v="5.0689999999999997E-5" u="1"/>
        <n v="6.4519999999999999E-5" u="1"/>
        <n v="2.5720000000000002E-4" u="1"/>
        <n v="9.458E-4" u="1"/>
        <n v="1.145E-3" u="1"/>
        <n v="2.872E-3" u="1"/>
        <n v="6.8609999999999999E-3" u="1"/>
        <n v="3.4220000000000001E-5" u="1"/>
        <n v="9.1780000000000004E-3" u="1"/>
        <n v="1.3679999999999999E-2" u="1"/>
        <n v="4.727E-2" u="1"/>
        <n v="2.3819999999999998E-6" u="1"/>
        <n v="4.1420000000000003E-6" u="1"/>
        <n v="8.4659999999999999E-6" u="1"/>
        <n v="4.528E-4" u="1"/>
        <n v="8.3630000000000006E-3" u="1"/>
        <n v="0.251" u="1"/>
        <n v="6.511E-6" u="1"/>
        <n v="4.143E-6" u="1"/>
        <n v="6.0070000000000003E-6" u="1"/>
        <n v="3.176E-3" u="1"/>
        <n v="5.5120000000000004E-3" u="1"/>
        <n v="2.9389999999999999E-2" u="1"/>
        <n v="7.0360000000000001E-6" u="1"/>
        <n v="5.2920000000000002E-5" u="1"/>
        <n v="8.4289999999999994E-5" u="1"/>
        <n v="3.092E-2" u="1"/>
        <n v="5.7270000000000001E-2" u="1"/>
        <n v="0.2346" u="1"/>
        <n v="6.2329999999999994E-5" u="1"/>
        <n v="6.9820000000000006E-5" u="1"/>
        <n v="4.9059999999999998E-3" u="1"/>
        <n v="5.1999999999999998E-3" u="1"/>
        <n v="1.0869999999999999E-2" u="1"/>
        <n v="8.4359999999999999E-5" u="1"/>
        <n v="1.072E-3" u="1"/>
        <n v="9.6180000000000004E-5" u="1"/>
        <n v="0.9698" u="1"/>
        <n v="6.5110000000000005E-5" u="1"/>
        <n v="1.142E-4" u="1"/>
        <n v="4.6779999999999999E-4" u="1"/>
        <n v="7.2099999999999997E-2" u="1"/>
        <n v="0.36249999999999999" u="1"/>
        <n v="4.8700000000000002E-3" u="1"/>
        <n v="2.0479999999999999E-4" u="1"/>
        <n v="4.0749999999999998E-4" u="1"/>
        <n v="1" u="1"/>
        <n v="2.7729999999999999E-3" u="1"/>
        <n v="7.5029999999999999E-2" u="1"/>
        <n v="6.7440000000000005E-5" u="1"/>
        <n v="6.6820000000000004E-2" u="1"/>
        <n v="0.1003" u="1"/>
        <n v="2.7290000000000002E-4" u="1"/>
        <n v="4.7350000000000004E-6" u="1"/>
        <n v="2.7460000000000001E-4" u="1"/>
        <n v="2.6159999999999999E-2" u="1"/>
        <n v="0.45679999999999998" u="1"/>
        <n v="4.7120000000000002E-4" u="1"/>
        <n v="1.7170000000000001E-2" u="1"/>
        <n v="0.29599999999999999" u="1"/>
        <n v="0.68100000000000005" u="1"/>
        <n v="1.1349999999999999E-4" u="1"/>
        <n v="4.729E-4" u="1"/>
        <n v="5.4799999999999996E-3" u="1"/>
        <n v="2.7300000000000001E-2" u="1"/>
        <n v="1.3760000000000001E-3" u="1"/>
        <n v="2.0129999999999999E-5" u="1"/>
        <n v="4.3300000000000001E-4" u="1"/>
        <n v="1.165E-3" u="1"/>
        <n v="1.093E-4" u="1"/>
        <n v="2.1890000000000001E-4" u="1"/>
        <n v="4.4279999999999998E-4" u="1"/>
        <n v="2.0760000000000002E-3" u="1"/>
        <n v="2.4709999999999999E-4" u="1"/>
        <n v="2.1679999999999998E-3" u="1"/>
        <n v="2.8000000000000001E-2" u="1"/>
        <n v="0.70909999999999995" u="1"/>
        <n v="4.2660000000000002E-5" u="1"/>
        <n v="2.8689999999999998E-4" u="1"/>
        <n v="7.6550000000000001E-4" u="1"/>
        <n v="2.2409999999999999E-3" u="1"/>
        <n v="1.0370000000000001E-2" u="1"/>
        <n v="5.9840000000000003E-5" u="1"/>
        <n v="2.6029999999999998E-4" u="1"/>
        <n v="2.8479999999999998E-3" u="1"/>
        <n v="1.773E-6" u="1"/>
        <n v="1.4359999999999999E-4" u="1"/>
        <n v="2.2460000000000001E-4" u="1"/>
        <n v="4.0949999999999997E-3" u="1"/>
        <n v="1.8560000000000001E-4" u="1"/>
        <n v="4.1429999999999999E-4" u="1"/>
        <n v="0.24640000000000001" u="1"/>
        <n v="0.71840000000000004" u="1"/>
        <n v="1.272E-4" u="1"/>
        <n v="1.5239999999999999E-4" u="1"/>
        <n v="6.0619999999999999E-5" u="1"/>
        <n v="7.3399999999999995E-5" u="1"/>
        <n v="5.5880000000000003E-4" u="1"/>
        <n v="2.261E-3" u="1"/>
        <n v="2.849E-3" u="1"/>
        <n v="3.29E-3" u="1"/>
        <n v="2.8399999999999999E-5" u="1"/>
        <n v="7.195E-2" u="1"/>
        <n v="6.2799999999999998E-4" u="1"/>
        <n v="2.2060000000000001E-3" u="1"/>
        <n v="1.575E-2" u="1"/>
        <n v="1.7759999999999999E-5" u="1"/>
        <n v="1.918E-4" u="1"/>
        <n v="5.2859999999999995E-4" u="1"/>
        <n v="0.40410000000000001" u="1"/>
        <n v="0.6089" u="1"/>
        <n v="1.8599999999999999E-4" u="1"/>
        <n v="5.3669999999999998E-4" u="1"/>
        <n v="0.24429999999999999" u="1"/>
        <n v="1.8870000000000001E-4" u="1"/>
        <n v="2.8410000000000002E-4" u="1"/>
      </sharedItems>
    </cacheField>
    <cacheField name="dna-lo" numFmtId="0">
      <sharedItems containsNonDate="0" containsString="0" containsBlank="1" containsNumber="1" minValue="9.9520000000000002E-7" maxValue="0.99909999999999999" count="184">
        <m/>
        <n v="2.3460000000000001E-6" u="1"/>
        <n v="3.7240000000000003E-5" u="1"/>
        <n v="6.3650000000000002E-5" u="1"/>
        <n v="4.5320000000000001E-4" u="1"/>
        <n v="5.6880000000000003E-3" u="1"/>
        <n v="2.0129999999999999E-2" u="1"/>
        <n v="7.4679999999999996E-2" u="1"/>
        <n v="1.4219999999999999E-4" u="1"/>
        <n v="3.8850000000000001E-4" u="1"/>
        <n v="0.25059999999999999" u="1"/>
        <n v="4.1569999999999997E-5" u="1"/>
        <n v="2.8219999999999999E-3" u="1"/>
        <n v="1.4610000000000001E-5" u="1"/>
        <n v="5.153E-4" u="1"/>
        <n v="2.2070000000000002E-3" u="1"/>
        <n v="2.7209999999999999E-3" u="1"/>
        <n v="3.0779999999999998E-2" u="1"/>
        <n v="8.5229999999999995E-5" u="1"/>
        <n v="2.0209999999999999E-2" u="1"/>
        <n v="0.45619999999999999" u="1"/>
        <n v="3.96E-5" u="1"/>
        <n v="2.0460000000000001E-4" u="1"/>
        <n v="2.3470000000000001E-4" u="1"/>
        <n v="2.5569999999999998E-3" u="1"/>
        <n v="3.2460000000000002E-3" u="1"/>
        <n v="5.4120000000000001E-3" u="1"/>
        <n v="1.0800000000000001E-2" u="1"/>
        <n v="2.7179999999999999E-2" u="1"/>
        <n v="7.2189999999999998E-5" u="1"/>
        <n v="1.5650000000000001E-2" u="1"/>
        <n v="4.6979999999999999E-3" u="1"/>
        <n v="1.7129999999999999E-2" u="1"/>
        <n v="5.4080000000000003E-4" u="1"/>
        <n v="2.823E-3" u="1"/>
        <n v="0.24390000000000001" u="1"/>
        <n v="2.6210000000000001E-3" u="1"/>
        <n v="0.68020000000000003" u="1"/>
        <n v="2.779E-5" u="1"/>
        <n v="1.061E-4" u="1"/>
        <n v="3.9899999999999999E-4" u="1"/>
        <n v="4.045E-3" u="1"/>
        <n v="4.238E-4" u="1"/>
        <n v="2.016E-3" u="1"/>
        <n v="2.7320000000000001E-3" u="1"/>
        <n v="4.8170000000000001E-3" u="1"/>
        <n v="5.5430000000000003E-5" u="1"/>
        <n v="8.7440000000000003E-5" u="1"/>
        <n v="5.4429999999999999E-3" u="1"/>
        <n v="6.7089999999999996E-5" u="1"/>
        <n v="2.5290000000000002E-4" u="1"/>
        <n v="3.4850000000000001E-4" u="1"/>
        <n v="4.6829999999999999E-6" u="1"/>
        <n v="9.9840000000000006E-5" u="1"/>
        <n v="8.2789999999999999E-3" u="1"/>
        <n v="5.7079999999999999E-2" u="1"/>
        <n v="6.2379999999999996E-5" u="1"/>
        <n v="1.0789999999999999E-2" u="1"/>
        <n v="2.1950000000000001E-2" u="1"/>
        <n v="6.658E-2" u="1"/>
        <n v="0.10299999999999999" u="1"/>
        <n v="0.60819999999999996" u="1"/>
        <n v="2.7139999999999998E-4" u="1"/>
        <n v="2.1090000000000002E-3" u="1"/>
        <n v="1.4790000000000001E-5" u="1"/>
        <n v="6.7869999999999999E-5" u="1"/>
        <n v="1.105E-4" u="1"/>
        <n v="1.3769999999999999E-2" u="1"/>
        <n v="2.7859999999999999E-2" u="1"/>
        <n v="0.96889999999999998" u="1"/>
        <n v="9.9520000000000002E-7" u="1"/>
        <n v="6.796E-3" u="1"/>
        <n v="0.2505" u="1"/>
        <n v="7.1849999999999997E-2" u="1"/>
        <n v="0.35289999999999999" u="1"/>
        <n v="5.295E-5" u="1"/>
        <n v="6.368E-5" u="1"/>
        <n v="3.2399999999999998E-3" u="1"/>
        <n v="0.99909999999999999" u="1"/>
        <n v="1.8139999999999999E-4" u="1"/>
        <n v="1.359E-2" u="1"/>
        <n v="4.7140000000000001E-2" u="1"/>
        <n v="3.3249999999999999E-6" u="1"/>
        <n v="2.725E-3" u="1"/>
        <n v="2.8909999999999999E-3" u="1"/>
        <n v="1.1039999999999999E-3" u="1"/>
        <n v="1.315E-3" u="1"/>
        <n v="1.5219999999999999E-3" u="1"/>
        <n v="2.2100000000000002E-3" u="1"/>
        <n v="7.4779999999999999E-2" u="1"/>
        <n v="5.4889999999999998E-5" u="1"/>
        <n v="6.0250000000000001E-5" u="1"/>
        <n v="6.7980000000000002E-3" u="1"/>
        <n v="2.9260000000000001E-2" u="1"/>
        <n v="8.6240000000000004E-4" u="1"/>
        <n v="0.36199999999999999" u="1"/>
        <n v="0.70820000000000005" u="1"/>
        <n v="1.03E-2" u="1"/>
        <n v="0.23419999999999999" u="1"/>
        <n v="3.9549999999999999E-5" u="1"/>
        <n v="2.7989999999999998E-3" u="1"/>
        <n v="4.3340000000000003E-6" u="1"/>
        <n v="2.1900000000000001E-4" u="1"/>
        <n v="5.4219999999999997E-3" u="1"/>
        <n v="4.8160000000000001E-6" u="1"/>
        <n v="3.0039999999999998E-4" u="1"/>
        <n v="5.8640000000000001E-5" u="1"/>
        <n v="5.9190000000000001E-5" u="1"/>
        <n v="1.4360000000000001E-6" u="1"/>
        <n v="1.038E-4" u="1"/>
        <n v="2.6049999999999999E-4" u="1"/>
        <n v="5.3310000000000003E-5" u="1"/>
        <n v="5.2510000000000001E-2" u="1"/>
        <n v="2.676E-4" u="1"/>
        <n v="5.1519999999999995E-4" u="1"/>
        <n v="2.8E-3" u="1"/>
        <n v="9.0849999999999993E-3" u="1"/>
        <n v="0.29549999999999998" u="1"/>
        <n v="1.738E-4" u="1"/>
        <n v="4.3669999999999999E-4" u="1"/>
        <n v="1.4470000000000001E-6" u="1"/>
        <n v="6.0899999999999995E-4" u="1"/>
        <n v="4.482E-4" u="1"/>
        <n v="5.8610000000000003E-5" u="1"/>
        <n v="1.9809999999999999E-4" u="1"/>
        <n v="2.4369999999999999E-4" u="1"/>
        <n v="0.2762" u="1"/>
        <n v="0.71750000000000003" u="1"/>
        <n v="5.2360000000000004E-6" u="1"/>
        <n v="7.2039999999999995E-4" u="1"/>
        <n v="5.1029999999999999E-3" u="1"/>
        <n v="1.0290000000000001E-2" u="1"/>
        <n v="0.79249999999999998" u="1"/>
        <n v="1.0620000000000001E-4" u="1"/>
        <n v="2.6219999999999998E-4" u="1"/>
        <n v="1.119E-3" u="1"/>
        <n v="7.17E-2" u="1"/>
        <n v="1.7640000000000001E-4" u="1"/>
        <n v="1.941E-4" u="1"/>
        <n v="4.7100000000000003E-2" u="1"/>
        <n v="1.6530000000000001E-4" u="1"/>
        <n v="3.0099999999999998E-2" u="1"/>
        <n v="1.9540000000000001E-4" u="1"/>
        <n v="9.479E-4" u="1"/>
        <n v="2.6030000000000001E-2" u="1"/>
        <n v="0.10009999999999999" u="1"/>
        <n v="0.24590000000000001" u="1"/>
        <n v="4.5160000000000003E-4" u="1"/>
        <n v="4.6570000000000003E-5" u="1"/>
        <n v="2.1320000000000002E-3" u="1"/>
        <n v="5.2830000000000002E-2" u="1"/>
        <n v="1.6820000000000002E-5" u="1"/>
        <n v="2.2049999999999999E-3" u="1"/>
        <n v="2.1190000000000001E-2" u="1"/>
        <n v="1.4169999999999999E-6" u="1"/>
        <n v="5.1550000000000001E-4" u="1"/>
        <n v="3.1329999999999999E-3" u="1"/>
        <n v="1.7069999999999998E-2" u="1"/>
        <n v="0.40360000000000001" u="1"/>
        <n v="2.3410000000000001E-5" u="1"/>
        <n v="5.91E-5" u="1"/>
        <n v="6.6669999999999993E-2" u="1"/>
        <n v="3.817E-6" u="1"/>
        <n v="2.0599999999999999E-4" u="1"/>
        <n v="5.1119999999999996E-4" u="1"/>
        <n v="2.784E-3" u="1"/>
        <n v="6.8559999999999994E-5" u="1"/>
        <n v="1.1680000000000001E-4" u="1"/>
        <n v="5.8619999999999998E-5" u="1"/>
        <n v="0.6048" u="1"/>
        <n v="2.8380000000000002E-6" u="1"/>
        <n v="1.4129999999999999E-4" u="1"/>
        <n v="1.0189999999999999E-3" u="1"/>
        <n v="4.849E-3" u="1"/>
        <n v="1.085E-2" u="1"/>
        <n v="8.4450000000000006E-5" u="1"/>
        <n v="2.225E-3" u="1"/>
        <n v="1.7899999999999999E-2" u="1"/>
        <n v="2.785E-2" u="1"/>
        <n v="2.8389999999999998E-6" u="1"/>
        <n v="5.2639999999999999E-6" u="1"/>
        <n v="1.329E-4" u="1"/>
        <n v="4.1070000000000001E-4" u="1"/>
        <n v="4.8690000000000001E-3" u="1"/>
      </sharedItems>
    </cacheField>
    <cacheField name="dna-hi" numFmtId="0">
      <sharedItems containsNonDate="0" containsString="0" containsBlank="1" containsNumber="1" minValue="3.1599999999999998E-6" maxValue="1" count="181">
        <m/>
        <n v="4.999E-3" u="1"/>
        <n v="5.5490000000000001E-3" u="1"/>
        <n v="7.22E-2" u="1"/>
        <n v="2.8160000000000001E-2" u="1"/>
        <n v="7.1730000000000006E-5" u="1"/>
        <n v="5.7729999999999999E-4" u="1"/>
        <n v="2.8219999999999999E-3" u="1"/>
        <n v="1.0449999999999999E-2" u="1"/>
        <n v="2.2799999999999999E-3" u="1"/>
        <n v="1.8110000000000001E-2" u="1"/>
        <n v="2.2409999999999999E-2" u="1"/>
        <n v="4.7480000000000001E-2" u="1"/>
        <n v="1.3860000000000001E-4" u="1"/>
        <n v="4.2749999999999998E-4" u="1"/>
        <n v="3.3279999999999998E-3" u="1"/>
        <n v="1.102E-2" u="1"/>
        <n v="0.10059999999999999" u="1"/>
        <n v="5.3179999999999998E-2" u="1"/>
        <n v="0.24690000000000001" u="1"/>
        <n v="3.9040000000000002E-6" u="1"/>
        <n v="1.3689999999999999E-5" u="1"/>
        <n v="2.3089999999999999E-3" u="1"/>
        <n v="1.1709999999999999E-3" u="1"/>
        <n v="2.8969999999999998E-3" u="1"/>
        <n v="7.5480000000000002E-5" u="1"/>
        <n v="7.3679999999999999E-5" u="1"/>
        <n v="6.0449999999999997E-6" u="1"/>
        <n v="1.1959999999999999E-4" u="1"/>
        <n v="8.1340000000000004E-4" u="1"/>
        <n v="3.7780000000000002E-4" u="1"/>
        <n v="0.70989999999999998" u="1"/>
        <n v="6.0460000000000002E-6" u="1"/>
        <n v="2.1590000000000002E-5" u="1"/>
        <n v="1.651E-4" u="1"/>
        <n v="2.2820000000000002E-3" u="1"/>
        <n v="0.35399999999999998" u="1"/>
        <n v="0.79430000000000001" u="1"/>
        <n v="2.3279999999999999E-4" u="1"/>
        <n v="1.3950000000000001E-2" u="1"/>
        <n v="7.6589999999999997E-5" u="1"/>
        <n v="1.6420000000000001E-4" u="1"/>
        <n v="2.018E-4" u="1"/>
        <n v="3.0370000000000001E-2" u="1"/>
        <n v="7.5179999999999997E-2" u="1"/>
        <n v="4.2129999999999998E-5" u="1"/>
        <n v="4.6270000000000003E-4" u="1"/>
        <n v="2.8990000000000001E-3" u="1"/>
        <n v="3.2200000000000002E-3" u="1"/>
        <n v="2.4479999999999999E-4" u="1"/>
        <n v="7.1619999999999995E-5" u="1"/>
        <n v="1.3769999999999999E-2" u="1"/>
        <n v="1.7340000000000001E-2" u="1"/>
        <n v="0.23499999999999999" u="1"/>
        <n v="4.888E-5" u="1"/>
        <n v="6.0149999999999998E-5" u="1"/>
        <n v="2.6280000000000001E-2" u="1"/>
        <n v="2.408E-5" u="1"/>
        <n v="2.0269999999999999E-4" u="1"/>
        <n v="2.2039999999999999E-4" u="1"/>
        <n v="4.5639999999999998E-4" u="1"/>
        <n v="5.1240000000000001E-3" u="1"/>
        <n v="3.546E-4" u="1"/>
        <n v="8.4489999999999999E-3" u="1"/>
        <n v="1.9909999999999999E-4" u="1"/>
        <n v="3.076E-4" u="1"/>
        <n v="4.9169999999999997E-4" u="1"/>
        <n v="5.2989999999999999E-3" u="1"/>
        <n v="1.0959999999999999E-2" u="1"/>
        <n v="2.8170000000000001E-2" u="1"/>
        <n v="1.2279999999999999E-3" u="1"/>
        <n v="0.71919999999999995" u="1"/>
        <n v="7.0790000000000005E-5" u="1"/>
        <n v="4.8819999999999999E-4" u="1"/>
        <n v="5.5080000000000005E-4" u="1"/>
        <n v="2.882E-3" u="1"/>
        <n v="4.9779999999999998E-3" u="1"/>
        <n v="0.45739999999999997" u="1"/>
        <n v="4.9240000000000004E-3" u="1"/>
        <n v="2.035E-2" u="1"/>
        <n v="2.1930000000000002E-2" u="1"/>
        <n v="0.29659999999999997" u="1"/>
        <n v="1.047E-4" u="1"/>
        <n v="5.5869999999999997E-4" u="1"/>
        <n v="8.8019999999999998E-6" u="1"/>
        <n v="1.058E-4" u="1"/>
        <n v="1.2290000000000001E-4" u="1"/>
        <n v="2.8180000000000002E-4" u="1"/>
        <n v="2.1380000000000001E-3" u="1"/>
        <n v="2.6519999999999998E-3" u="1"/>
        <n v="2.9520000000000001E-2" u="1"/>
        <n v="0.60970000000000002" u="1"/>
        <n v="6.2910000000000006E-5" u="1"/>
        <n v="6.7150000000000001E-2" u="1"/>
        <n v="2.8180000000000002E-3" u="1"/>
        <n v="4.1450000000000002E-3" u="1"/>
        <n v="2.043E-2" u="1"/>
        <n v="0.10349999999999999" u="1"/>
        <n v="0.2515" u="1"/>
        <n v="3.9570000000000004E-6" u="1"/>
        <n v="1.7270000000000001E-2" u="1"/>
        <n v="7.435E-6" u="1"/>
        <n v="6.8919999999999997E-5" u="1"/>
        <n v="1.027E-4" u="1"/>
        <n v="1.2420000000000001E-4" u="1"/>
        <n v="4.6949999999999997E-4" u="1"/>
        <n v="5.5589999999999997E-3" u="1"/>
        <n v="8.585E-5" u="1"/>
        <n v="1.038E-4" u="1"/>
        <n v="2.9750000000000002E-3" u="1"/>
        <n v="0.4047" u="1"/>
        <n v="4.743E-2" u="1"/>
        <n v="1" u="1"/>
        <n v="1.4400000000000001E-3" u="1"/>
        <n v="1.67E-3" u="1"/>
        <n v="1.095E-2" u="1"/>
        <n v="8.3270000000000001E-6" u="1"/>
        <n v="7.6550000000000004E-5" u="1"/>
        <n v="7.8679999999999999E-5" u="1"/>
        <n v="8.0290000000000005E-5" u="1"/>
        <n v="6.7440000000000001E-6" u="1"/>
        <n v="6.1820000000000001E-5" u="1"/>
        <n v="1.1280000000000001E-3" u="1"/>
        <n v="7.5289999999999996E-2" u="1"/>
        <n v="5.3199999999999999E-6" u="1"/>
        <n v="1.348E-4" u="1"/>
        <n v="2.0829999999999999E-4" u="1"/>
        <n v="2.8289999999999999E-3" u="1"/>
        <n v="0.27700000000000002" u="1"/>
        <n v="0.36299999999999999" u="1"/>
        <n v="1E-4" u="1"/>
        <n v="3.1599999999999998E-6" u="1"/>
        <n v="2.921E-3" u="1"/>
        <n v="9.273E-3" u="1"/>
        <n v="4.9830000000000002E-5" u="1"/>
        <n v="6.7639999999999996E-5" u="1"/>
        <n v="2.2780000000000001E-3" u="1"/>
        <n v="2.7000000000000001E-3" u="1"/>
        <n v="5.581E-3" u="1"/>
        <n v="1.228E-4" u="1"/>
        <n v="2.2039999999999998E-3" u="1"/>
        <n v="3.3340000000000002E-3" u="1"/>
        <n v="1.551E-4" u="1"/>
        <n v="2.743E-2" u="1"/>
        <n v="7.2349999999999998E-2" u="1"/>
        <n v="0.60640000000000005" u="1"/>
        <n v="1.585E-2" u="1"/>
        <n v="7.1000000000000005E-5" u="1"/>
        <n v="2.9220000000000001E-3" u="1"/>
        <n v="6.9230000000000003E-3" u="1"/>
        <n v="9.4059999999999994E-6" u="1"/>
        <n v="2.7799999999999998E-4" u="1"/>
        <n v="2.1310000000000001E-5" u="1"/>
        <n v="6.4760000000000002E-4" u="1"/>
        <n v="5.8050000000000003E-3" u="1"/>
        <n v="5.2859999999999997E-2" u="1"/>
        <n v="0.24679999999999999" u="1"/>
        <n v="2.452E-4" u="1"/>
        <n v="2.789E-4" u="1"/>
        <n v="0.97070000000000001" u="1"/>
        <n v="4.303E-4" u="1"/>
        <n v="5.4659999999999995E-4" u="1"/>
        <n v="6.9249999999999997E-3" u="1"/>
        <n v="3.9210000000000002E-6" u="1"/>
        <n v="9.0529999999999996E-6" u="1"/>
        <n v="3.4459999999999999E-5" u="1"/>
        <n v="2.877E-4" u="1"/>
        <n v="1.0369999999999999E-3" u="1"/>
        <n v="0.68189999999999995" u="1"/>
        <n v="4.9339999999999996E-4" u="1"/>
        <n v="6.7059999999999995E-2" u="1"/>
        <n v="7.1009999999999999E-5" u="1"/>
        <n v="3.1060000000000001E-2" u="1"/>
        <n v="2.8590000000000001E-4" u="1"/>
        <n v="1.042E-3" u="1"/>
        <n v="5.7450000000000001E-2" u="1"/>
        <n v="7.0049999999999995E-5" u="1"/>
        <n v="2.9740000000000002E-4" u="1"/>
        <n v="2.2980000000000001E-3" u="1"/>
        <n v="0.2447" u="1"/>
        <n v="2.1609999999999999E-4" u="1"/>
      </sharedItems>
    </cacheField>
    <cacheField name="confidence" numFmtId="11">
      <sharedItems containsNonDate="0" containsString="0" containsBlank="1"/>
    </cacheField>
    <cacheField name="depth" numFmtId="0">
      <sharedItems containsNonDate="0" containsString="0" containsBlank="1"/>
    </cacheField>
    <cacheField name="breadth" numFmtId="0">
      <sharedItems containsNonDate="0" containsString="0" containsBlank="1"/>
    </cacheField>
    <cacheField name="mapped" numFmtId="0">
      <sharedItems containsNonDate="0" containsString="0" containsBlank="1"/>
    </cacheField>
    <cacheField name="has-ref" numFmtId="0">
      <sharedItems containsNonDate="0" containsString="0" containsBlank="1"/>
    </cacheField>
    <cacheField name="tax-cnt" numFmtId="0">
      <sharedItems containsNonDate="0" containsString="0" containsBlank="1"/>
    </cacheField>
    <cacheField name="tax-id" numFmtId="0">
      <sharedItems containsNonDate="0" containsString="0" containsBlank="1"/>
    </cacheField>
    <cacheField name="prnt-id" numFmtId="0">
      <sharedItems containsNonDate="0" containsString="0" containsBlank="1"/>
    </cacheField>
    <cacheField name="rank" numFmtId="0">
      <sharedItems containsNonDate="0" containsString="0" containsBlank="1"/>
    </cacheField>
    <cacheField name="name" numFmtId="0">
      <sharedItems containsNonDate="0" containsBlank="1" count="341">
        <m/>
        <s v="Methylococcales" u="1"/>
        <s v="Rhodopseudomonas palustris" u="1"/>
        <s v="Rhodobacter sphaeroides 2.4.1" u="1"/>
        <s v="Pseudomonas" u="1"/>
        <s v="Chroococcales" u="1"/>
        <s v="Pseudomonadales" u="1"/>
        <s v="Streptococcus mutans" u="1"/>
        <s v="Flavobacterium psychrophilum" u="1"/>
        <s v="Staphylococcus aureus subsp. aureus VCU006" u="1"/>
        <s v="Thermotogales" u="1"/>
        <s v="delta/epsilon subdivisions" u="1"/>
        <s v="unclassified Euryarchaeota" u="1"/>
        <s v="Staphylococcus haemolyticus" u="1"/>
        <s v="Staphylococcus aureus subsp. aureus 65-1322" u="1"/>
        <s v="Spirochaetia" u="1"/>
        <s v="Psychromonas ingrahamii" u="1"/>
        <s v="Mycoplasma gallisepticum" u="1"/>
        <s v="Neisseria" u="1"/>
        <s v="Listeria monocytogenes EGD-e" u="1"/>
        <s v="Amycolatopsis mediterranei U32" u="1"/>
        <s v="Streptomyces" u="1"/>
        <s v="Mycoplasmatales" u="1"/>
        <s v="Hydrogenobaculum" u="1"/>
        <s v="Pseudomonas aeruginosa PAO1" u="1"/>
        <s v="Corynebacterium diphtheriae HC02" u="1"/>
        <s v="Propionibacterium freudenreichii" u="1"/>
        <s v="Clostridiales" u="1"/>
        <s v="Rhodospirillaceae" u="1"/>
        <s v="Propionibacterineae" u="1"/>
        <s v="Listeria monocytogenes" u="1"/>
        <s v="Thermococcus onnurineus" u="1"/>
        <s v="Staphylococcus epidermidis NIHLM008" u="1"/>
        <s v="Bacilli" u="1"/>
        <s v="Sulfolobaceae" u="1"/>
        <s v="Spirochaetales" u="1"/>
        <s v="Prochlorococcaceae" u="1"/>
        <s v="Methanobacteriaceae" u="1"/>
        <s v="Puniceicoccales" u="1"/>
        <s v="Chlorobia" u="1"/>
        <s v="Clostridia" u="1"/>
        <s v="Helicobacter" u="1"/>
        <s v="Sphaerochaeta" u="1"/>
        <s v="Streptomycetaceae" u="1"/>
        <s v="Propionibacterium acnes SK137" u="1"/>
        <s v="Helicobacteraceae" u="1"/>
        <s v="Chlorobium phaeobacteroides BS1" u="1"/>
        <s v="Amycolatopsis" u="1"/>
        <s v="Neisseriaceae" u="1"/>
        <s v="Actinomycineae" u="1"/>
        <s v="Spirochaetaceae" u="1"/>
        <s v="Acinetobacter baumannii" u="1"/>
        <s v="Caldanaerobacter subterraneus" u="1"/>
        <s v="Staphylococcus epidermidis VCU057" u="1"/>
        <s v="Acinetobacter" u="1"/>
        <s v="Lactobacillus" u="1"/>
        <s v="Mycobacteriaceae" u="1"/>
        <s v="Propionibacterium acnes" u="1"/>
        <s v="Pseudomonas putida KT2440" u="1"/>
        <s v="Stigmatella" u="1"/>
        <s v="Rickettsiaceae" u="1"/>
        <s v="Thermococcales" u="1"/>
        <s v="Pseudomonas putida group" u="1"/>
        <s v="Staphylococcus epidermidis NIHLM049" u="1"/>
        <s v="Staphylococcus aureus subsp. aureus HO 5096 0412" u="1"/>
        <s v="Acidianus" u="1"/>
        <s v="Escherichia" u="1"/>
        <s v="Myxococcaceae" u="1"/>
        <s v="Peptococcaceae" u="1"/>
        <s v="Corynebacterium" u="1"/>
        <s v="Actinobacteridae" u="1"/>
        <s v="Bacillus subtilis" u="1"/>
        <s v="Staphylococcus haemolyticus JCSC1435" u="1"/>
        <s v="Chlorobiaceae" u="1"/>
        <s v="Bradyrhizobiaceae" u="1"/>
        <s v="Rhodospirillum rubrum" u="1"/>
        <s v="Rhodopseudomonas palustris BisB5" u="1"/>
        <s v="Thermoanaerobacter tengcongensis MB4" u="1"/>
        <s v="Orientia" u="1"/>
        <s v="Methylococcaceae" u="1"/>
        <s v="Staphylococcus aureus" u="1"/>
        <s v="Bifidobacterium bifidum" u="1"/>
        <s v="Psychromonas ingrahamii 37" u="1"/>
        <s v="Wolinella succinogenes DSM 1740" u="1"/>
        <s v="Chlorobi" u="1"/>
        <s v="Rhodobacter sphaeroides" u="1"/>
        <s v="Staphylococcus aureus subsp. aureus MSSA476" u="1"/>
        <s v="Moraxellaceae" u="1"/>
        <s v="Thermococcaceae" u="1"/>
        <s v="Lactobacillus gasseri" u="1"/>
        <s v="Thermoanaerobacteraceae" u="1"/>
        <s v="Sphaerochaeta pleomorpha" u="1"/>
        <s v="Staphylococcus capitis SK14" u="1"/>
        <s v="Chlamydiae/Verrucomicrobia group" u="1"/>
        <s v="Staphylococcus aureus subsp. aureus M013" u="1"/>
        <s v="Acinetobacter calcoaceticus/baumannii complex" u="1"/>
        <s v="Caulobacter" u="1"/>
        <s v="Arcanobacterium" u="1"/>
        <s v="Bifidobacteriales" u="1"/>
        <s v="spotted fever group" u="1"/>
        <s v="Methanobrevibacter smithii" u="1"/>
        <s v="Staphylococcus epidermidis NIHLM040" u="1"/>
        <s v="Staphylococcus epidermidis ATCC 12228" u="1"/>
        <s v="Streptomycineae" u="1"/>
        <s v="Methanobrevibacter" u="1"/>
        <s v="Streptococcus mitis" u="1"/>
        <s v="Corynebacterium diphtheriae" u="1"/>
        <s v="Staphylococcus epidermidis NIHLM018" u="1"/>
        <s v="Euryarchaeota" u="1"/>
        <s v="Flavobacterium" u="1"/>
        <s v="Hyphomicrobium" u="1"/>
        <s v="Bifidobacteriaceae" u="1"/>
        <s v="Prochlorococcus marinus" u="1"/>
        <s v="Bacillales" u="1"/>
        <s v="Pasteurellales" u="1"/>
        <s v="Xanthomonadaceae" u="1"/>
        <s v="Bacteroides fragilis" u="1"/>
        <s v="Orientia tsutsugamushi" u="1"/>
        <s v="Escherichia coli K-12" u="1"/>
        <s v="Thermoanaerobacterales" u="1"/>
        <s v="Anoxybacillus flavithermus" u="1"/>
        <s v="Neisseria meningitidis WUE 2594" u="1"/>
        <s v="Arcanobacterium haemolyticum" u="1"/>
        <s v="Staphylococcus epidermidis BCM-HMP0060" u="1"/>
        <s v="Bacillaceae" u="1"/>
        <s v="Rickettsiales" u="1"/>
        <s v="Listeria" u="1"/>
        <s v="Opitutae" u="1"/>
        <s v="Thermococcus" u="1"/>
        <s v="Thermoprotei" u="1"/>
        <s v="Aciduliprofundum" u="1"/>
        <s v="Stenotrophomonas maltophilia" u="1"/>
        <s v="Staphylococcus pseudintermedius" u="1"/>
        <s v="Streptococcus agalactiae 2603V/R" u="1"/>
        <s v="Psychromonas" u="1"/>
        <s v="Pasteurellaceae" u="1"/>
        <s v="Rickettsia rickettsii" u="1"/>
        <s v="Stigmatella aurantiaca" u="1"/>
        <s v="Bacillus" u="1"/>
        <s v="Rickettsia" u="1"/>
        <s v="Aquificaceae" u="1"/>
        <s v="Actinobacteria" u="1"/>
        <s v="Bacillus cereus group" u="1"/>
        <s v="Streptococcus mutans GS-5" u="1"/>
        <s v="Staphylococcus epidermidis VCU118" u="1"/>
        <s v="Stenotrophomonas maltophilia group" u="1"/>
        <s v="Coraliomargarita akajimensis" u="1"/>
        <s v="Staphylococcus aureus subsp. aureus ATCC 51811" u="1"/>
        <s v="Chlorobium" u="1"/>
        <s v="Flavobacteriales" u="1"/>
        <s v="Xanthomonas oryzae" u="1"/>
        <s v="Corynebacterium diphtheriae HC03" u="1"/>
        <s v="Bacteroides" u="1"/>
        <s v="Mycobacterium" u="1"/>
        <s v="Pseudomonas fluorescens group" u="1"/>
        <s v="Rhodobacteraceae" u="1"/>
        <s v="Campylobacterales" u="1"/>
        <s v="Amycolatopsis mediterranei" u="1"/>
        <s v="Mycobacterium intracellulare" u="1"/>
        <s v="Spirochaetes" u="1"/>
        <s v="Actinomycetaceae" u="1"/>
        <s v="Pseudomonas putida" u="1"/>
        <s v="Caulobacter vibrioides" u="1"/>
        <s v="Aciduliprofundum boonei T469" u="1"/>
        <s v="Staphylococcus epidermidis SK135" u="1"/>
        <s v="Clostridium" u="1"/>
        <s v="Sulfolobales" u="1"/>
        <s v="Acidianus hospitalis W1" u="1"/>
        <s v="Streptococcus mutans UA159" u="1"/>
        <s v="Staphylococcus aureus subsp. aureus" u="1"/>
        <s v="Staphylococcus aureus subsp. aureus JKD6159" u="1"/>
        <s v="Caldanaerobacter subterraneus subsp. tengcongensis" u="1"/>
        <s v="Rhodospirillales" u="1"/>
        <s v="Betaproteobacteria" u="1"/>
        <s v="Bacteroidaceae" u="1"/>
        <s v="Cystobacteraceae" u="1"/>
        <s v="Staphylococcus caprae" u="1"/>
        <s v="Streptococcus agalactiae" u="1"/>
        <s v="Staphylococcus aureus subsp. aureus 21340" u="1"/>
        <s v="Bacteria" u="1"/>
        <s v="Tenericutes" u="1"/>
        <s v="Sulfolobus islandicus" u="1"/>
        <s v="Thermosipho melanesiensis BI429" u="1"/>
        <s v="Staphylococcus epidermidis M23864:W1" u="1"/>
        <s v="Neisseriales" u="1"/>
        <s v="Comamonadaceae" u="1"/>
        <s v="Cystobacterineae" u="1"/>
        <s v="Desulfitobacterium hafniense Y51" u="1"/>
        <s v="Francisella" u="1"/>
        <s v="Methanobacteria" u="1"/>
        <s v="Rhodobacterales" u="1"/>
        <s v="Anaeromyxobacter" u="1"/>
        <s v="Puniceicoccaceae" u="1"/>
        <s v="Anoxybacillus flavithermus WK1" u="1"/>
        <s v="Archaea" u="1"/>
        <s v="Haemophilus" u="1"/>
        <s v="Haemophilus influenzae" u="1"/>
        <s v="Thermoanaerobacter" u="1"/>
        <s v="Alphaproteobacteria" u="1"/>
        <s v="Staphylococcus epidermidis NIHLM001" u="1"/>
        <s v="Staphylococcus aureus subsp. aureus USA300_TCH959" u="1"/>
        <s v="Myxococcales" u="1"/>
        <s v="Psychromonadaceae" u="1"/>
        <s v="Desulfitobacterium" u="1"/>
        <s v="Pseudonocardiaceae" u="1"/>
        <s v="Acidianus hospitalis" u="1"/>
        <s v="Staphylococcus capitis" u="1"/>
        <s v="Staphylococcus aureus subsp. aureus 21343" u="1"/>
        <s v="Chlorobiales" u="1"/>
        <s v="Listeriaceae" u="1"/>
        <s v="Crenarchaeota" u="1"/>
        <s v="Corynebacteriaceae" u="1"/>
        <s v="Staphylococcus epidermidis VCU127" u="1"/>
        <s v="Acinetobacter baumannii ATCC 17978" u="1"/>
        <s v="Streptococcus agalactiae serogroup V" u="1"/>
        <s v="Propionibacterium" u="1"/>
        <s v="Arcanobacterium haemolyticum DSM 20595" u="1"/>
        <s v="Actinosynnema" u="1"/>
        <s v="Nitrospiraceae" u="1"/>
        <s v="Rhodopseudomonas" u="1"/>
        <s v="Helicobacter pylori 26695" u="1"/>
        <s v="Nitrospirae" u="1"/>
        <s v="Pseudomonas aeruginosa" u="1"/>
        <s v="Staphylococcus epidermidis NIHLM015" u="1"/>
        <s v="Coraliomargarita akajimensis DSM 45221" u="1"/>
        <s v="Staphylococcus" u="1"/>
        <s v="Propionibacteriaceae" u="1"/>
        <s v="Actinosynnema mirum DSM 43827" u="1"/>
        <s v="Staphylococcus aureus subsp. aureus TCH130" u="1"/>
        <s v="Anoxybacillus" u="1"/>
        <s v="Streptococcus" u="1"/>
        <s v="Synechococcus" u="1"/>
        <s v="Lactobacillaceae" u="1"/>
        <s v="Mycoplasmataceae" u="1"/>
        <s v="cellular organisms" u="1"/>
        <s v="Arcobacter" u="1"/>
        <s v="Bacteroidales" u="1"/>
        <s v="Pseudonocardineae" u="1"/>
        <s v="Flavobacteriia" u="1"/>
        <s v="Corynebacterineae" u="1"/>
        <s v="Neisseria meningitidis" u="1"/>
        <s v="Staphylococcus caprae C87" u="1"/>
        <s v="Xanthomonas" u="1"/>
        <s v="Proteobacteria" u="1"/>
        <s v="Xanthomonadales" u="1"/>
        <s v="Delftia" u="1"/>
        <s v="Thermococci" u="1"/>
        <s v="Coraliomargarita" u="1"/>
        <s v="Bacteroidia" u="1"/>
        <s v="Burkholderiales" u="1"/>
        <s v="Escherichia coli" u="1"/>
        <s v="Streptococcus mitis B6" u="1"/>
        <s v="Bacillus subtilis group" u="1"/>
        <s v="Bacteroides fragilis 638R" u="1"/>
        <s v="Methylomicrobium" u="1"/>
        <s v="Aciduliprofundum boonei" u="1"/>
        <s v="Nitratiruptor" u="1"/>
        <s v="Lactobacillales" u="1"/>
        <s v="Methanobacteriales" u="1"/>
        <s v="Helicobacter pylori" u="1"/>
        <s v="Rhodospirillum rubrum F11" u="1"/>
        <s v="Methanobrevibacter smithii ATCC 35061" u="1"/>
        <s v="Aquificae" u="1"/>
        <s v="Epsilonproteobacteria" u="1"/>
        <s v="Pseudomonas fluorescens" u="1"/>
        <s v="Chlorobium phaeobacteroides" u="1"/>
        <s v="unclassified Epsilonproteobacteria" u="1"/>
        <s v="Sulfolobus" u="1"/>
        <s v="Streptococcaceae" u="1"/>
        <s v="Flavobacteriaceae" u="1"/>
        <s v="Gammaproteobacteria" u="1"/>
        <s v="Thermococcus kodakarensis" u="1"/>
        <s v="Staphylococcus aureus subsp. aureus 11819-97" u="1"/>
        <s v="Nitrospirales" u="1"/>
        <s v="Thermotogaceae" u="1"/>
        <s v="Bacteroides vulgatus" u="1"/>
        <s v="Bacillus cereus ATCC 10987" u="1"/>
        <s v="Pseudomonas aeruginosa group" u="1"/>
        <s v="Escherichia coli str. K-12 substr. MG1655" u="1"/>
        <s v="Firmicutes" u="1"/>
        <s v="Aquificales" u="1"/>
        <s v="Thermotogae" u="1"/>
        <s v="Alteromonadales" u="1"/>
        <s v="Caldanaerobacter" u="1"/>
        <s v="Mollicutes" u="1"/>
        <s v="Bifidobacterium" u="1"/>
        <s v="Verrucomicrobia" u="1"/>
        <s v="Caulobacteraceae" u="1"/>
        <s v="Staphylococcaceae" u="1"/>
        <s v="Wolinella succinogenes" u="1"/>
        <s v="Desulfitobacterium hafniense" u="1"/>
        <s v="Stenotrophomonas maltophilia JV3" u="1"/>
        <s v="Nitrospira" u="1"/>
        <s v="Rhodobacter" u="1"/>
        <s v="Campylobacteraceae" u="1"/>
        <s v="Thermococcus onnurineus NA1" u="1"/>
        <s v="Staphylococcus epidermidis NIHLM088" u="1"/>
        <s v="Mycoplasma" u="1"/>
        <s v="Rickettsieae" u="1"/>
        <s v="Clostridiaceae" u="1"/>
        <s v="Thermococcus kodakarensis KOD1" u="1"/>
        <s v="Thermosipho" u="1"/>
        <s v="Thiotrichales" u="1"/>
        <s v="Prochlorococcus" u="1"/>
        <s v="Hyphomicrobiaceae" u="1"/>
        <s v="Staphylococcus epidermidis" u="1"/>
        <s v="Chlorobium/Pelodictyon group" u="1"/>
        <s v="Bacteroides vulgatus ATCC 8482" u="1"/>
        <s v="Neisseria meningitidis serogroup B" u="1"/>
        <s v="Staphylococcus aureus subsp. aureus USA300" u="1"/>
        <s v="Bacillus cereus" u="1"/>
        <s v="Arcobacter butzleri" u="1"/>
        <s v="Deltaproteobacteria" u="1"/>
        <s v="Francisella tularensis" u="1"/>
        <s v="Methylomicrobium alcaliphilum" u="1"/>
        <s v="Candidatus Nitrospira defluvii" u="1"/>
        <s v="Clostridium beijerinckii NCIMB 8052" u="1"/>
        <s v="Clostridium beijerinckii" u="1"/>
        <s v="Thermosipho melanesiensis" u="1"/>
        <s v="Bifidobacterium bifidum PRL2010" u="1"/>
        <s v="Mycobacterium avium complex (MAC)" u="1"/>
        <s v="Bacteroidetes" u="1"/>
        <s v="Rhodospirillum" u="1"/>
        <s v="Enterobacteriales" u="1"/>
        <s v="Bacteroidetes/Chlorobi group" u="1"/>
        <s v="Staphylococcus aureus subsp. aureus ED133" u="1"/>
        <s v="Actinomycetales" u="1"/>
        <s v="Caulobacterales" u="1"/>
        <s v="Caulobacter crescentus CB15" u="1"/>
        <s v="Staphylococcus epidermidis NIH05001" u="1"/>
        <s v="Staphylococcus epidermidis NIHLM039" u="1"/>
        <s v="Wolinella" u="1"/>
        <s v="Rhizobiales" u="1"/>
        <s v="Prochlorales" u="1"/>
        <s v="Cyanobacteria" u="1"/>
        <s v="Francisellaceae" u="1"/>
        <s v="Pseudomonadaceae" u="1"/>
        <s v="Stenotrophomonas" u="1"/>
        <s v="Enterobacteriaceae" u="1"/>
        <s v="Actinosynnema mirum" u="1"/>
        <s v="Caulobacter crescentus NA1000" u="1"/>
      </sharedItems>
    </cacheField>
    <cacheField name="is-rank" numFmtId="0">
      <sharedItems containsSemiMixedTypes="0" containsString="0" containsNumber="1" containsInteger="1" minValue="0" maxValue="0"/>
    </cacheField>
    <cacheField name="cumul-rank" numFmtId="0">
      <sharedItems containsSemiMixedTypes="0" containsString="0" containsNumber="1" containsInteger="1" minValue="0" maxValue="0"/>
    </cacheField>
    <cacheField name="order-rank" numFmtId="0">
      <sharedItems containsSemiMixedTypes="0" containsString="0" containsNumber="1" containsInteger="1" minValue="0" maxValue="50" count="51">
        <n v="0"/>
        <n v="34" u="1"/>
        <n v="13" u="1"/>
        <n v="36" u="1"/>
        <n v="38" u="1"/>
        <n v="5" u="1"/>
        <n v="14" u="1"/>
        <n v="40" u="1"/>
        <n v="42" u="1"/>
        <n v="15" u="1"/>
        <n v="44" u="1"/>
        <n v="2" u="1"/>
        <n v="46" u="1"/>
        <n v="6" u="1"/>
        <n v="16" u="1"/>
        <n v="48" u="1"/>
        <n v="17" u="1"/>
        <n v="50" u="1"/>
        <n v="18" u="1"/>
        <n v="19" u="1"/>
        <n v="7" u="1"/>
        <n v="20" u="1"/>
        <n v="33" u="1"/>
        <n v="21" u="1"/>
        <n v="35" u="1"/>
        <n v="22" u="1"/>
        <n v="37" u="1"/>
        <n v="1" u="1"/>
        <n v="23" u="1"/>
        <n v="3" u="1"/>
        <n v="8" u="1"/>
        <n v="39" u="1"/>
        <n v="24" u="1"/>
        <n v="41" u="1"/>
        <n v="25" u="1"/>
        <n v="9" u="1"/>
        <n v="43" u="1"/>
        <n v="26" u="1"/>
        <n v="45" u="1"/>
        <n v="27" u="1"/>
        <n v="10" u="1"/>
        <n v="47" u="1"/>
        <n v="28" u="1"/>
        <n v="49" u="1"/>
        <n v="29" u="1"/>
        <n v="11" u="1"/>
        <n v="30" u="1"/>
        <n v="31" u="1"/>
        <n v="4" u="1"/>
        <n v="12" u="1"/>
        <n v="32" u="1"/>
      </sharedItems>
    </cacheField>
    <cacheField name="ab-mid" numFmtId="0" formula="abundance-'ab-lo'" databaseField="0"/>
    <cacheField name="ab-high" numFmtId="0" formula="'ab-hi'-abundance" databaseField="0"/>
    <cacheField name="dna-mid" numFmtId="0" formula="dna-'dna-lo'" databaseField="0"/>
    <cacheField name="dna-high" numFmtId="0" formula="'dna-hi'-dna" databaseField="0"/>
  </cacheFields>
</pivotCacheDefinition>
</file>

<file path=xl/pivotCache/pivotCacheDefinition2.xml><?xml version="1.0" encoding="utf-8"?>
<pivotCacheDefinition xmlns="http://schemas.openxmlformats.org/spreadsheetml/2006/main" xmlns:r="http://schemas.openxmlformats.org/officeDocument/2006/relationships" r:id="rId1" refreshedBy="rossb" refreshedDate="41317.704958564813" createdVersion="3" refreshedVersion="3" minRefreshableVersion="3" recordCount="1">
  <cacheSource type="worksheet">
    <worksheetSource name="Table1[rank]"/>
  </cacheSource>
  <cacheFields count="2">
    <cacheField name="rank" numFmtId="0">
      <sharedItems containsNonDate="0" containsBlank="1" count="17">
        <m/>
        <s v="subclass" u="1"/>
        <s v="tribe" u="1"/>
        <s v="species group" u="1"/>
        <s v="suborder" u="1"/>
        <s v="superphylum" u="1"/>
        <s v="superkingdom" u="1"/>
        <s v="species" u="1"/>
        <s v="family" u="1"/>
        <s v="phylum" u="1"/>
        <s v="order" u="1"/>
        <s v="no rank" u="1"/>
        <s v="subspecies" u="1"/>
        <s v="subphylum" u="1"/>
        <s v="class" u="1"/>
        <s v="strain" u="1"/>
        <s v="genus" u="1"/>
      </sharedItems>
    </cacheField>
    <cacheField name="Field1" numFmtId="0" formula="rank" databaseField="0"/>
  </cacheFields>
</pivotCacheDefinition>
</file>

<file path=xl/pivotCache/pivotCacheRecords1.xml><?xml version="1.0" encoding="utf-8"?>
<pivotCacheRecords xmlns="http://schemas.openxmlformats.org/spreadsheetml/2006/main" xmlns:r="http://schemas.openxmlformats.org/officeDocument/2006/relationships" count="1">
  <r>
    <x v="0"/>
    <x v="0"/>
    <x v="0"/>
    <x v="0"/>
    <x v="0"/>
    <x v="0"/>
    <m/>
    <m/>
    <m/>
    <m/>
    <m/>
    <m/>
    <m/>
    <m/>
    <m/>
    <x v="0"/>
    <n v="0"/>
    <n v="0"/>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60" applyNumberFormats="0" applyBorderFormats="0" applyFontFormats="0" applyPatternFormats="0" applyAlignmentFormats="0" applyWidthHeightFormats="1" dataCaption="Values" updatedVersion="3" minRefreshableVersion="3" showCalcMbrs="0" showDrill="0" useAutoFormatting="1" rowGrandTotals="0" colGrandTotals="0" itemPrintTitles="1" createdVersion="3" indent="0" showHeaders="0" outline="1" outlineData="1" multipleFieldFilters="0" rowHeaderCaption="ranks" fieldListSortAscending="1">
  <location ref="U19" firstHeaderRow="0" firstDataRow="0" firstDataCol="1"/>
  <pivotFields count="2">
    <pivotField axis="axisRow" showAll="0">
      <items count="18">
        <item m="1" x="14"/>
        <item m="1" x="8"/>
        <item m="1" x="16"/>
        <item m="1" x="11"/>
        <item m="1" x="10"/>
        <item m="1" x="9"/>
        <item m="1" x="7"/>
        <item m="1" x="3"/>
        <item m="1" x="1"/>
        <item m="1" x="4"/>
        <item m="1" x="13"/>
        <item m="1" x="12"/>
        <item m="1" x="6"/>
        <item m="1" x="5"/>
        <item m="1" x="2"/>
        <item m="1" x="15"/>
        <item x="0"/>
        <item t="default"/>
      </items>
    </pivotField>
    <pivotField dragToRow="0" dragToCol="0" dragToPage="0" showAll="0" defaultSubtotal="0"/>
  </pivotFields>
  <rowFields count="1">
    <field x="0"/>
  </rowFields>
  <rowItems count="1">
    <i>
      <x v="16"/>
    </i>
  </rowItems>
  <colItems count="1">
    <i/>
  </colItems>
  <pivotTableStyleInfo name="PivotStyleMedium4" showRowHeaders="1" showColHeaders="1" showRowStripes="0" showColStripes="0" showLastColumn="1"/>
</pivotTableDefinition>
</file>

<file path=xl/pivotTables/pivotTable2.xml><?xml version="1.0" encoding="utf-8"?>
<pivotTableDefinition xmlns="http://schemas.openxmlformats.org/spreadsheetml/2006/main" name="PivotTable2" cacheId="257" applyNumberFormats="0" applyBorderFormats="0" applyFontFormats="0" applyPatternFormats="0" applyAlignmentFormats="0" applyWidthHeightFormats="1" dataCaption="Values" updatedVersion="3" minRefreshableVersion="3" showCalcMbrs="0" showDrill="0" useAutoFormatting="1" rowGrandTotals="0" colGrandTotals="0" itemPrintTitles="1" createdVersion="3" indent="0" compact="0" compactData="0" multipleFieldFilters="0">
  <location ref="A1:L2" firstHeaderRow="1" firstDataRow="2" firstDataCol="8"/>
  <pivotFields count="23">
    <pivotField axis="axisRow" compact="0" numFmtId="164" outline="0" showAll="0" defaultSubtotal="0">
      <items count="176">
        <item m="1" x="22"/>
        <item m="1" x="92"/>
        <item m="1" x="137"/>
        <item m="1" x="159"/>
        <item m="1" x="33"/>
        <item m="1" x="19"/>
        <item m="1" x="26"/>
        <item m="1" x="23"/>
        <item m="1" x="36"/>
        <item m="1" x="81"/>
        <item m="1" x="143"/>
        <item m="1" x="48"/>
        <item m="1" x="42"/>
        <item m="1" x="10"/>
        <item m="1" x="115"/>
        <item m="1" x="62"/>
        <item m="1" x="54"/>
        <item m="1" x="67"/>
        <item m="1" x="105"/>
        <item m="1" x="34"/>
        <item m="1" x="50"/>
        <item m="1" x="120"/>
        <item m="1" x="16"/>
        <item m="1" x="5"/>
        <item m="1" x="86"/>
        <item m="1" x="163"/>
        <item m="1" x="129"/>
        <item m="1" x="144"/>
        <item m="1" x="51"/>
        <item m="1" x="52"/>
        <item m="1" x="12"/>
        <item m="1" x="112"/>
        <item m="1" x="108"/>
        <item m="1" x="77"/>
        <item m="1" x="165"/>
        <item m="1" x="145"/>
        <item m="1" x="170"/>
        <item m="1" x="118"/>
        <item m="1" x="134"/>
        <item m="1" x="138"/>
        <item m="1" x="162"/>
        <item m="1" x="68"/>
        <item m="1" x="85"/>
        <item m="1" x="61"/>
        <item m="1" x="78"/>
        <item m="1" x="104"/>
        <item m="1" x="106"/>
        <item m="1" x="133"/>
        <item m="1" x="131"/>
        <item m="1" x="87"/>
        <item m="1" x="141"/>
        <item m="1" x="152"/>
        <item m="1" x="160"/>
        <item m="1" x="175"/>
        <item m="1" x="139"/>
        <item m="1" x="45"/>
        <item m="1" x="2"/>
        <item m="1" x="111"/>
        <item m="1" x="166"/>
        <item m="1" x="90"/>
        <item m="1" x="29"/>
        <item m="1" x="172"/>
        <item m="1" x="103"/>
        <item m="1" x="150"/>
        <item m="1" x="146"/>
        <item m="1" x="113"/>
        <item m="1" x="151"/>
        <item m="1" x="91"/>
        <item m="1" x="70"/>
        <item m="1" x="71"/>
        <item m="1" x="153"/>
        <item m="1" x="142"/>
        <item m="1" x="136"/>
        <item m="1" x="14"/>
        <item m="1" x="41"/>
        <item m="1" x="82"/>
        <item m="1" x="53"/>
        <item m="1" x="57"/>
        <item m="1" x="80"/>
        <item m="1" x="65"/>
        <item m="1" x="140"/>
        <item m="1" x="119"/>
        <item m="1" x="58"/>
        <item m="1" x="47"/>
        <item m="1" x="31"/>
        <item m="1" x="9"/>
        <item m="1" x="123"/>
        <item m="1" x="96"/>
        <item m="1" x="4"/>
        <item m="1" x="114"/>
        <item m="1" x="66"/>
        <item m="1" x="39"/>
        <item m="1" x="32"/>
        <item m="1" x="21"/>
        <item m="1" x="157"/>
        <item m="1" x="128"/>
        <item m="1" x="30"/>
        <item m="1" x="94"/>
        <item m="1" x="3"/>
        <item m="1" x="72"/>
        <item m="1" x="158"/>
        <item m="1" x="46"/>
        <item m="1" x="147"/>
        <item m="1" x="69"/>
        <item m="1" x="8"/>
        <item m="1" x="127"/>
        <item m="1" x="56"/>
        <item m="1" x="18"/>
        <item m="1" x="149"/>
        <item m="1" x="44"/>
        <item m="1" x="135"/>
        <item m="1" x="121"/>
        <item m="1" x="79"/>
        <item m="1" x="7"/>
        <item m="1" x="100"/>
        <item m="1" x="13"/>
        <item m="1" x="171"/>
        <item m="1" x="130"/>
        <item m="1" x="102"/>
        <item m="1" x="17"/>
        <item m="1" x="99"/>
        <item m="1" x="40"/>
        <item m="1" x="20"/>
        <item m="1" x="75"/>
        <item m="1" x="60"/>
        <item m="1" x="64"/>
        <item m="1" x="38"/>
        <item m="1" x="126"/>
        <item m="1" x="43"/>
        <item m="1" x="161"/>
        <item m="1" x="6"/>
        <item m="1" x="25"/>
        <item m="1" x="109"/>
        <item m="1" x="148"/>
        <item m="1" x="173"/>
        <item m="1" x="11"/>
        <item m="1" x="154"/>
        <item m="1" x="74"/>
        <item m="1" x="122"/>
        <item m="1" x="63"/>
        <item m="1" x="125"/>
        <item m="1" x="132"/>
        <item m="1" x="97"/>
        <item m="1" x="35"/>
        <item m="1" x="164"/>
        <item m="1" x="98"/>
        <item m="1" x="73"/>
        <item m="1" x="155"/>
        <item m="1" x="117"/>
        <item m="1" x="110"/>
        <item m="1" x="84"/>
        <item m="1" x="156"/>
        <item m="1" x="28"/>
        <item m="1" x="169"/>
        <item m="1" x="168"/>
        <item m="1" x="89"/>
        <item m="1" x="88"/>
        <item m="1" x="1"/>
        <item m="1" x="95"/>
        <item m="1" x="83"/>
        <item m="1" x="174"/>
        <item m="1" x="101"/>
        <item m="1" x="24"/>
        <item m="1" x="55"/>
        <item m="1" x="59"/>
        <item m="1" x="76"/>
        <item m="1" x="93"/>
        <item m="1" x="15"/>
        <item m="1" x="167"/>
        <item m="1" x="37"/>
        <item m="1" x="27"/>
        <item m="1" x="116"/>
        <item m="1" x="124"/>
        <item m="1" x="107"/>
        <item m="1" x="49"/>
        <item x="0"/>
      </items>
    </pivotField>
    <pivotField axis="axisRow" compact="0" numFmtId="164" outline="0" showAll="0" defaultSubtotal="0">
      <items count="183">
        <item m="1" x="91"/>
        <item m="1" x="106"/>
        <item m="1" x="32"/>
        <item m="1" x="45"/>
        <item m="1" x="89"/>
        <item m="1" x="85"/>
        <item m="1" x="120"/>
        <item m="1" x="59"/>
        <item m="1" x="15"/>
        <item m="1" x="55"/>
        <item m="1" x="146"/>
        <item m="1" x="41"/>
        <item m="1" x="115"/>
        <item m="1" x="182"/>
        <item m="1" x="23"/>
        <item m="1" x="49"/>
        <item m="1" x="152"/>
        <item m="1" x="69"/>
        <item m="1" x="175"/>
        <item m="1" x="140"/>
        <item m="1" x="3"/>
        <item m="1" x="142"/>
        <item m="1" x="107"/>
        <item m="1" x="116"/>
        <item m="1" x="75"/>
        <item m="1" x="57"/>
        <item m="1" x="37"/>
        <item m="1" x="70"/>
        <item m="1" x="97"/>
        <item m="1" x="92"/>
        <item m="1" x="93"/>
        <item m="1" x="155"/>
        <item m="1" x="177"/>
        <item m="1" x="73"/>
        <item m="1" x="128"/>
        <item m="1" x="60"/>
        <item m="1" x="104"/>
        <item m="1" x="157"/>
        <item m="1" x="132"/>
        <item m="1" x="94"/>
        <item m="1" x="160"/>
        <item m="1" x="53"/>
        <item m="1" x="158"/>
        <item m="1" x="105"/>
        <item m="1" x="79"/>
        <item m="1" x="14"/>
        <item m="1" x="87"/>
        <item m="1" x="34"/>
        <item m="1" x="72"/>
        <item m="1" x="8"/>
        <item m="1" x="166"/>
        <item m="1" x="168"/>
        <item m="1" x="5"/>
        <item m="1" x="148"/>
        <item m="1" x="170"/>
        <item m="1" x="99"/>
        <item m="1" x="30"/>
        <item m="1" x="173"/>
        <item m="1" x="100"/>
        <item m="1" x="153"/>
        <item m="1" x="95"/>
        <item m="1" x="112"/>
        <item m="1" x="96"/>
        <item m="1" x="169"/>
        <item m="1" x="135"/>
        <item m="1" x="18"/>
        <item m="1" x="117"/>
        <item m="1" x="138"/>
        <item m="1" x="82"/>
        <item m="1" x="48"/>
        <item m="1" x="40"/>
        <item m="1" x="31"/>
        <item m="1" x="27"/>
        <item m="1" x="21"/>
        <item m="1" x="63"/>
        <item m="1" x="67"/>
        <item m="1" x="130"/>
        <item m="1" x="83"/>
        <item m="1" x="180"/>
        <item m="1" x="28"/>
        <item m="1" x="162"/>
        <item m="1" x="113"/>
        <item m="1" x="118"/>
        <item m="1" x="108"/>
        <item m="1" x="150"/>
        <item m="1" x="174"/>
        <item m="1" x="22"/>
        <item m="1" x="119"/>
        <item m="1" x="181"/>
        <item m="1" x="111"/>
        <item m="1" x="151"/>
        <item m="1" x="145"/>
        <item m="1" x="10"/>
        <item m="1" x="109"/>
        <item m="1" x="74"/>
        <item m="1" x="136"/>
        <item m="1" x="84"/>
        <item m="1" x="165"/>
        <item m="1" x="77"/>
        <item m="1" x="171"/>
        <item m="1" x="139"/>
        <item m="1" x="131"/>
        <item m="1" x="44"/>
        <item m="1" x="39"/>
        <item m="1" x="2"/>
        <item m="1" x="101"/>
        <item m="1" x="64"/>
        <item m="1" x="144"/>
        <item m="1" x="43"/>
        <item m="1" x="127"/>
        <item m="1" x="68"/>
        <item m="1" x="90"/>
        <item m="1" x="126"/>
        <item m="1" x="164"/>
        <item m="1" x="36"/>
        <item m="1" x="149"/>
        <item m="1" x="179"/>
        <item m="1" x="129"/>
        <item m="1" x="17"/>
        <item m="1" x="66"/>
        <item m="1" x="16"/>
        <item m="1" x="62"/>
        <item m="1" x="29"/>
        <item m="1" x="114"/>
        <item m="1" x="88"/>
        <item m="1" x="26"/>
        <item m="1" x="1"/>
        <item m="1" x="81"/>
        <item m="1" x="25"/>
        <item m="1" x="125"/>
        <item m="1" x="52"/>
        <item m="1" x="51"/>
        <item m="1" x="9"/>
        <item m="1" x="42"/>
        <item m="1" x="80"/>
        <item m="1" x="54"/>
        <item m="1" x="58"/>
        <item m="1" x="163"/>
        <item m="1" x="124"/>
        <item m="1" x="98"/>
        <item m="1" x="134"/>
        <item m="1" x="102"/>
        <item m="1" x="167"/>
        <item m="1" x="141"/>
        <item m="1" x="178"/>
        <item m="1" x="61"/>
        <item m="1" x="65"/>
        <item m="1" x="4"/>
        <item m="1" x="133"/>
        <item m="1" x="20"/>
        <item m="1" x="7"/>
        <item m="1" x="13"/>
        <item m="1" x="143"/>
        <item m="1" x="33"/>
        <item m="1" x="161"/>
        <item m="1" x="38"/>
        <item m="1" x="147"/>
        <item m="1" x="103"/>
        <item m="1" x="78"/>
        <item m="1" x="35"/>
        <item m="1" x="12"/>
        <item m="1" x="172"/>
        <item m="1" x="11"/>
        <item m="1" x="156"/>
        <item m="1" x="123"/>
        <item m="1" x="19"/>
        <item m="1" x="47"/>
        <item m="1" x="176"/>
        <item m="1" x="71"/>
        <item m="1" x="76"/>
        <item m="1" x="110"/>
        <item m="1" x="50"/>
        <item m="1" x="6"/>
        <item m="1" x="159"/>
        <item m="1" x="137"/>
        <item m="1" x="121"/>
        <item m="1" x="56"/>
        <item m="1" x="24"/>
        <item m="1" x="86"/>
        <item m="1" x="122"/>
        <item m="1" x="46"/>
        <item m="1" x="154"/>
        <item x="0"/>
      </items>
    </pivotField>
    <pivotField axis="axisRow" compact="0" numFmtId="164" outline="0" showAll="0" defaultSubtotal="0">
      <items count="185">
        <item m="1" x="153"/>
        <item m="1" x="131"/>
        <item m="1" x="84"/>
        <item m="1" x="180"/>
        <item m="1" x="132"/>
        <item m="1" x="30"/>
        <item m="1" x="108"/>
        <item m="1" x="10"/>
        <item m="1" x="57"/>
        <item m="1" x="100"/>
        <item m="1" x="117"/>
        <item m="1" x="34"/>
        <item m="1" x="129"/>
        <item m="1" x="118"/>
        <item m="1" x="112"/>
        <item m="1" x="101"/>
        <item m="1" x="15"/>
        <item m="1" x="150"/>
        <item m="1" x="58"/>
        <item m="1" x="176"/>
        <item m="1" x="6"/>
        <item m="1" x="39"/>
        <item m="1" x="77"/>
        <item m="1" x="109"/>
        <item m="1" x="38"/>
        <item m="1" x="142"/>
        <item m="1" x="154"/>
        <item m="1" x="59"/>
        <item m="1" x="83"/>
        <item m="1" x="172"/>
        <item m="1" x="67"/>
        <item m="1" x="62"/>
        <item m="1" x="158"/>
        <item m="1" x="182"/>
        <item m="1" x="96"/>
        <item m="1" x="174"/>
        <item m="1" x="165"/>
        <item m="1" x="12"/>
        <item m="1" x="31"/>
        <item m="1" x="88"/>
        <item m="1" x="175"/>
        <item m="1" x="52"/>
        <item m="1" x="13"/>
        <item m="1" x="79"/>
        <item m="1" x="166"/>
        <item m="1" x="54"/>
        <item m="1" x="3"/>
        <item m="1" x="149"/>
        <item m="1" x="80"/>
        <item m="1" x="170"/>
        <item m="1" x="19"/>
        <item m="1" x="144"/>
        <item m="1" x="152"/>
        <item m="1" x="20"/>
        <item m="1" x="8"/>
        <item m="1" x="104"/>
        <item m="1" x="140"/>
        <item m="1" x="94"/>
        <item m="1" x="105"/>
        <item m="1" x="120"/>
        <item m="1" x="159"/>
        <item m="1" x="168"/>
        <item m="1" x="41"/>
        <item m="1" x="145"/>
        <item m="1" x="155"/>
        <item m="1" x="42"/>
        <item m="1" x="184"/>
        <item m="1" x="123"/>
        <item m="1" x="164"/>
        <item m="1" x="135"/>
        <item m="1" x="95"/>
        <item m="1" x="167"/>
        <item m="1" x="14"/>
        <item m="1" x="9"/>
        <item m="1" x="82"/>
        <item m="1" x="136"/>
        <item m="1" x="92"/>
        <item m="1" x="181"/>
        <item m="1" x="156"/>
        <item m="1" x="89"/>
        <item m="1" x="1"/>
        <item m="1" x="115"/>
        <item m="1" x="90"/>
        <item m="1" x="98"/>
        <item m="1" x="5"/>
        <item m="1" x="22"/>
        <item m="1" x="23"/>
        <item m="1" x="157"/>
        <item m="1" x="56"/>
        <item m="1" x="127"/>
        <item m="1" x="53"/>
        <item m="1" x="32"/>
        <item m="1" x="73"/>
        <item m="1" x="161"/>
        <item m="1" x="75"/>
        <item m="1" x="128"/>
        <item m="1" x="116"/>
        <item m="1" x="29"/>
        <item m="1" x="146"/>
        <item m="1" x="99"/>
        <item m="1" x="111"/>
        <item m="1" x="124"/>
        <item m="1" x="141"/>
        <item m="1" x="138"/>
        <item m="1" x="87"/>
        <item m="1" x="179"/>
        <item m="1" x="137"/>
        <item m="1" x="44"/>
        <item m="1" x="69"/>
        <item m="1" x="169"/>
        <item m="1" x="126"/>
        <item m="1" x="130"/>
        <item m="1" x="160"/>
        <item m="1" x="171"/>
        <item m="1" x="107"/>
        <item m="1" x="51"/>
        <item m="1" x="74"/>
        <item m="1" x="50"/>
        <item m="1" x="106"/>
        <item m="1" x="147"/>
        <item m="1" x="27"/>
        <item m="1" x="71"/>
        <item m="1" x="33"/>
        <item m="1" x="43"/>
        <item m="1" x="121"/>
        <item m="1" x="86"/>
        <item m="1" x="93"/>
        <item m="1" x="110"/>
        <item m="1" x="21"/>
        <item m="1" x="103"/>
        <item m="1" x="49"/>
        <item m="1" x="4"/>
        <item m="1" x="26"/>
        <item m="1" x="151"/>
        <item m="1" x="7"/>
        <item m="1" x="178"/>
        <item m="1" x="68"/>
        <item m="1" x="37"/>
        <item m="1" x="48"/>
        <item m="1" x="25"/>
        <item m="1" x="18"/>
        <item m="1" x="55"/>
        <item m="1" x="163"/>
        <item m="1" x="64"/>
        <item m="1" x="97"/>
        <item m="1" x="24"/>
        <item m="1" x="40"/>
        <item m="1" x="78"/>
        <item m="1" x="36"/>
        <item m="1" x="47"/>
        <item m="1" x="17"/>
        <item m="1" x="114"/>
        <item m="1" x="134"/>
        <item m="1" x="125"/>
        <item m="1" x="46"/>
        <item m="1" x="122"/>
        <item m="1" x="133"/>
        <item m="1" x="102"/>
        <item m="1" x="11"/>
        <item m="1" x="173"/>
        <item m="1" x="76"/>
        <item m="1" x="143"/>
        <item m="1" x="72"/>
        <item m="1" x="113"/>
        <item m="1" x="65"/>
        <item m="1" x="63"/>
        <item m="1" x="61"/>
        <item m="1" x="183"/>
        <item m="1" x="16"/>
        <item m="1" x="35"/>
        <item m="1" x="119"/>
        <item m="1" x="28"/>
        <item m="1" x="162"/>
        <item m="1" x="81"/>
        <item m="1" x="60"/>
        <item m="1" x="139"/>
        <item m="1" x="66"/>
        <item m="1" x="148"/>
        <item m="1" x="45"/>
        <item m="1" x="91"/>
        <item m="1" x="177"/>
        <item m="1" x="85"/>
        <item m="1" x="70"/>
        <item m="1" x="2"/>
        <item x="0"/>
      </items>
    </pivotField>
    <pivotField axis="axisRow" compact="0" numFmtId="164" outline="0" showAll="0" defaultSubtotal="0">
      <items count="175">
        <item m="1" x="144"/>
        <item m="1" x="4"/>
        <item m="1" x="70"/>
        <item m="1" x="44"/>
        <item m="1" x="71"/>
        <item m="1" x="77"/>
        <item m="1" x="112"/>
        <item m="1" x="2"/>
        <item m="1" x="78"/>
        <item m="1" x="76"/>
        <item m="1" x="82"/>
        <item m="1" x="72"/>
        <item m="1" x="165"/>
        <item m="1" x="125"/>
        <item m="1" x="136"/>
        <item m="1" x="39"/>
        <item m="1" x="60"/>
        <item m="1" x="97"/>
        <item m="1" x="89"/>
        <item m="1" x="155"/>
        <item m="1" x="40"/>
        <item m="1" x="16"/>
        <item m="1" x="98"/>
        <item m="1" x="166"/>
        <item m="1" x="103"/>
        <item m="1" x="14"/>
        <item m="1" x="49"/>
        <item m="1" x="111"/>
        <item m="1" x="113"/>
        <item m="1" x="174"/>
        <item m="1" x="12"/>
        <item m="1" x="149"/>
        <item m="1" x="73"/>
        <item m="1" x="167"/>
        <item m="1" x="31"/>
        <item m="1" x="156"/>
        <item m="1" x="162"/>
        <item m="1" x="63"/>
        <item m="1" x="133"/>
        <item m="1" x="139"/>
        <item m="1" x="1"/>
        <item m="1" x="42"/>
        <item m="1" x="157"/>
        <item m="1" x="56"/>
        <item m="1" x="8"/>
        <item m="1" x="79"/>
        <item m="1" x="17"/>
        <item m="1" x="159"/>
        <item m="1" x="147"/>
        <item m="1" x="102"/>
        <item m="1" x="25"/>
        <item m="1" x="26"/>
        <item m="1" x="65"/>
        <item m="1" x="140"/>
        <item m="1" x="92"/>
        <item m="1" x="22"/>
        <item m="1" x="3"/>
        <item m="1" x="68"/>
        <item m="1" x="55"/>
        <item m="1" x="164"/>
        <item m="1" x="117"/>
        <item m="1" x="53"/>
        <item m="1" x="27"/>
        <item m="1" x="36"/>
        <item m="1" x="46"/>
        <item m="1" x="114"/>
        <item m="1" x="123"/>
        <item m="1" x="81"/>
        <item m="1" x="32"/>
        <item m="1" x="85"/>
        <item m="1" x="69"/>
        <item m="1" x="29"/>
        <item m="1" x="7"/>
        <item m="1" x="43"/>
        <item m="1" x="86"/>
        <item m="1" x="110"/>
        <item m="1" x="38"/>
        <item m="1" x="87"/>
        <item m="1" x="172"/>
        <item m="1" x="33"/>
        <item m="1" x="101"/>
        <item m="1" x="168"/>
        <item m="1" x="115"/>
        <item m="1" x="96"/>
        <item m="1" x="105"/>
        <item m="1" x="5"/>
        <item m="1" x="151"/>
        <item m="1" x="135"/>
        <item m="1" x="119"/>
        <item m="1" x="169"/>
        <item m="1" x="54"/>
        <item m="1" x="18"/>
        <item m="1" x="118"/>
        <item m="1" x="15"/>
        <item m="1" x="75"/>
        <item m="1" x="150"/>
        <item m="1" x="107"/>
        <item m="1" x="9"/>
        <item m="1" x="100"/>
        <item m="1" x="161"/>
        <item m="1" x="37"/>
        <item m="1" x="109"/>
        <item m="1" x="19"/>
        <item m="1" x="20"/>
        <item m="1" x="23"/>
        <item m="1" x="134"/>
        <item m="1" x="6"/>
        <item m="1" x="67"/>
        <item m="1" x="58"/>
        <item m="1" x="74"/>
        <item m="1" x="80"/>
        <item m="1" x="48"/>
        <item m="1" x="122"/>
        <item m="1" x="91"/>
        <item m="1" x="90"/>
        <item m="1" x="163"/>
        <item m="1" x="131"/>
        <item m="1" x="143"/>
        <item m="1" x="57"/>
        <item m="1" x="106"/>
        <item m="1" x="35"/>
        <item m="1" x="24"/>
        <item m="1" x="52"/>
        <item m="1" x="124"/>
        <item m="1" x="64"/>
        <item m="1" x="47"/>
        <item m="1" x="158"/>
        <item m="1" x="21"/>
        <item m="1" x="127"/>
        <item m="1" x="62"/>
        <item m="1" x="94"/>
        <item m="1" x="41"/>
        <item m="1" x="121"/>
        <item m="1" x="130"/>
        <item m="1" x="171"/>
        <item m="1" x="116"/>
        <item m="1" x="99"/>
        <item m="1" x="104"/>
        <item m="1" x="138"/>
        <item m="1" x="126"/>
        <item m="1" x="28"/>
        <item m="1" x="137"/>
        <item m="1" x="142"/>
        <item m="1" x="129"/>
        <item m="1" x="146"/>
        <item m="1" x="148"/>
        <item m="1" x="11"/>
        <item m="1" x="153"/>
        <item m="1" x="145"/>
        <item m="1" x="152"/>
        <item m="1" x="61"/>
        <item m="1" x="132"/>
        <item m="1" x="50"/>
        <item m="1" x="51"/>
        <item m="1" x="173"/>
        <item m="1" x="170"/>
        <item m="1" x="88"/>
        <item m="1" x="154"/>
        <item m="1" x="93"/>
        <item m="1" x="84"/>
        <item m="1" x="59"/>
        <item m="1" x="141"/>
        <item m="1" x="120"/>
        <item m="1" x="128"/>
        <item m="1" x="45"/>
        <item m="1" x="95"/>
        <item m="1" x="13"/>
        <item m="1" x="30"/>
        <item m="1" x="160"/>
        <item m="1" x="108"/>
        <item m="1" x="10"/>
        <item m="1" x="34"/>
        <item m="1" x="83"/>
        <item m="1" x="66"/>
        <item x="0"/>
      </items>
    </pivotField>
    <pivotField axis="axisRow" compact="0" numFmtId="164" outline="0" showAll="0" defaultSubtotal="0">
      <items count="184">
        <item m="1" x="70"/>
        <item m="1" x="154"/>
        <item m="1" x="108"/>
        <item m="1" x="120"/>
        <item m="1" x="1"/>
        <item m="1" x="170"/>
        <item m="1" x="179"/>
        <item m="1" x="82"/>
        <item m="1" x="162"/>
        <item m="1" x="101"/>
        <item m="1" x="52"/>
        <item m="1" x="104"/>
        <item m="1" x="128"/>
        <item m="1" x="180"/>
        <item m="1" x="13"/>
        <item m="1" x="64"/>
        <item m="1" x="151"/>
        <item m="1" x="2"/>
        <item m="1" x="99"/>
        <item m="1" x="123"/>
        <item m="1" x="168"/>
        <item m="1" x="160"/>
        <item m="1" x="107"/>
        <item m="1" x="3"/>
        <item m="1" x="76"/>
        <item m="1" x="49"/>
        <item m="1" x="29"/>
        <item m="1" x="18"/>
        <item m="1" x="39"/>
        <item m="1" x="133"/>
        <item m="1" x="79"/>
        <item m="1" x="138"/>
        <item m="1" x="124"/>
        <item m="1" x="50"/>
        <item m="1" x="110"/>
        <item m="1" x="134"/>
        <item m="1" x="62"/>
        <item m="1" x="51"/>
        <item m="1" x="40"/>
        <item m="1" x="119"/>
        <item m="1" x="164"/>
        <item m="1" x="114"/>
        <item m="1" x="14"/>
        <item m="1" x="33"/>
        <item m="1" x="121"/>
        <item m="1" x="135"/>
        <item m="1" x="149"/>
        <item m="1" x="152"/>
        <item m="1" x="15"/>
        <item m="1" x="88"/>
        <item m="1" x="176"/>
        <item m="1" x="36"/>
        <item m="1" x="84"/>
        <item m="1" x="156"/>
        <item m="1" x="77"/>
        <item m="1" x="25"/>
        <item m="1" x="41"/>
        <item m="1" x="45"/>
        <item m="1" x="5"/>
        <item m="1" x="71"/>
        <item m="1" x="92"/>
        <item m="1" x="131"/>
        <item m="1" x="97"/>
        <item m="1" x="57"/>
        <item m="1" x="27"/>
        <item m="1" x="174"/>
        <item m="1" x="80"/>
        <item m="1" x="67"/>
        <item m="1" x="30"/>
        <item m="1" x="157"/>
        <item m="1" x="32"/>
        <item m="1" x="177"/>
        <item m="1" x="6"/>
        <item m="1" x="19"/>
        <item m="1" x="144"/>
        <item m="1" x="28"/>
        <item m="1" x="93"/>
        <item m="1" x="141"/>
        <item m="1" x="17"/>
        <item m="1" x="139"/>
        <item m="1" x="81"/>
        <item m="1" x="112"/>
        <item m="1" x="150"/>
        <item m="1" x="55"/>
        <item m="1" x="145"/>
        <item m="1" x="60"/>
        <item m="1" x="98"/>
        <item m="1" x="35"/>
        <item m="1" x="126"/>
        <item m="1" x="95"/>
        <item m="1" x="158"/>
        <item m="1" x="20"/>
        <item m="1" x="69"/>
        <item m="1" x="78"/>
        <item m="1" x="132"/>
        <item m="1" x="127"/>
        <item m="1" x="96"/>
        <item m="1" x="37"/>
        <item m="1" x="61"/>
        <item m="1" x="169"/>
        <item m="1" x="74"/>
        <item m="1" x="117"/>
        <item m="1" x="10"/>
        <item m="1" x="72"/>
        <item m="1" x="146"/>
        <item m="1" x="89"/>
        <item m="1" x="7"/>
        <item m="1" x="73"/>
        <item m="1" x="136"/>
        <item m="1" x="161"/>
        <item m="1" x="59"/>
        <item m="1" x="58"/>
        <item m="1" x="153"/>
        <item m="1" x="68"/>
        <item m="1" x="178"/>
        <item m="1" x="183"/>
        <item m="1" x="116"/>
        <item m="1" x="173"/>
        <item m="1" x="54"/>
        <item m="1" x="48"/>
        <item m="1" x="103"/>
        <item m="1" x="26"/>
        <item m="1" x="130"/>
        <item m="1" x="31"/>
        <item m="1" x="63"/>
        <item m="1" x="43"/>
        <item m="1" x="100"/>
        <item m="1" x="44"/>
        <item m="1" x="83"/>
        <item m="1" x="16"/>
        <item m="1" x="24"/>
        <item m="1" x="87"/>
        <item m="1" x="86"/>
        <item m="1" x="34"/>
        <item m="1" x="12"/>
        <item m="1" x="115"/>
        <item m="1" x="165"/>
        <item m="1" x="85"/>
        <item m="1" x="94"/>
        <item m="1" x="172"/>
        <item m="1" x="143"/>
        <item m="1" x="4"/>
        <item m="1" x="42"/>
        <item m="1" x="155"/>
        <item m="1" x="147"/>
        <item m="1" x="122"/>
        <item m="1" x="9"/>
        <item m="1" x="129"/>
        <item m="1" x="182"/>
        <item m="1" x="105"/>
        <item m="1" x="113"/>
        <item m="1" x="125"/>
        <item m="1" x="142"/>
        <item m="1" x="163"/>
        <item m="1" x="140"/>
        <item m="1" x="8"/>
        <item m="1" x="171"/>
        <item m="1" x="181"/>
        <item m="1" x="167"/>
        <item m="1" x="23"/>
        <item m="1" x="102"/>
        <item m="1" x="66"/>
        <item m="1" x="22"/>
        <item m="1" x="137"/>
        <item m="1" x="118"/>
        <item m="1" x="90"/>
        <item m="1" x="111"/>
        <item m="1" x="166"/>
        <item m="1" x="65"/>
        <item m="1" x="11"/>
        <item m="1" x="75"/>
        <item m="1" x="109"/>
        <item m="1" x="53"/>
        <item m="1" x="21"/>
        <item m="1" x="47"/>
        <item m="1" x="175"/>
        <item m="1" x="56"/>
        <item m="1" x="159"/>
        <item m="1" x="91"/>
        <item m="1" x="106"/>
        <item m="1" x="46"/>
        <item m="1" x="148"/>
        <item m="1" x="38"/>
        <item x="0"/>
      </items>
    </pivotField>
    <pivotField axis="axisRow" compact="0" numFmtId="164" outline="0" showAll="0" defaultSubtotal="0">
      <items count="181">
        <item m="1" x="131"/>
        <item m="1" x="20"/>
        <item m="1" x="163"/>
        <item m="1" x="99"/>
        <item m="1" x="124"/>
        <item m="1" x="27"/>
        <item m="1" x="32"/>
        <item m="1" x="120"/>
        <item m="1" x="101"/>
        <item m="1" x="116"/>
        <item m="1" x="84"/>
        <item m="1" x="164"/>
        <item m="1" x="150"/>
        <item m="1" x="21"/>
        <item m="1" x="152"/>
        <item m="1" x="33"/>
        <item m="1" x="57"/>
        <item m="1" x="54"/>
        <item m="1" x="134"/>
        <item m="1" x="147"/>
        <item m="1" x="171"/>
        <item m="1" x="50"/>
        <item m="1" x="5"/>
        <item m="1" x="117"/>
        <item m="1" x="40"/>
        <item m="1" x="119"/>
        <item m="1" x="107"/>
        <item m="1" x="130"/>
        <item m="1" x="139"/>
        <item m="1" x="86"/>
        <item m="1" x="58"/>
        <item m="1" x="180"/>
        <item m="1" x="59"/>
        <item m="1" x="151"/>
        <item m="1" x="173"/>
        <item m="1" x="166"/>
        <item m="1" x="177"/>
        <item m="1" x="30"/>
        <item m="1" x="160"/>
        <item m="1" x="105"/>
        <item m="1" x="161"/>
        <item m="1" x="74"/>
        <item m="1" x="6"/>
        <item m="1" x="153"/>
        <item m="1" x="23"/>
        <item m="1" x="140"/>
        <item m="1" x="136"/>
        <item m="1" x="9"/>
        <item m="1" x="35"/>
        <item m="1" x="178"/>
        <item m="1" x="137"/>
        <item m="1" x="109"/>
        <item m="1" x="48"/>
        <item m="1" x="15"/>
        <item m="1" x="141"/>
        <item m="1" x="95"/>
        <item m="1" x="78"/>
        <item m="1" x="154"/>
        <item m="1" x="149"/>
        <item m="1" x="162"/>
        <item m="1" x="8"/>
        <item m="1" x="115"/>
        <item m="1" x="68"/>
        <item m="1" x="16"/>
        <item m="1" x="51"/>
        <item m="1" x="39"/>
        <item m="1" x="146"/>
        <item m="1" x="100"/>
        <item m="1" x="52"/>
        <item m="1" x="10"/>
        <item m="1" x="79"/>
        <item m="1" x="96"/>
        <item m="1" x="56"/>
        <item m="1" x="143"/>
        <item m="1" x="90"/>
        <item m="1" x="43"/>
        <item m="1" x="172"/>
        <item m="1" x="111"/>
        <item m="1" x="12"/>
        <item m="1" x="155"/>
        <item m="1" x="18"/>
        <item m="1" x="175"/>
        <item m="1" x="17"/>
        <item m="1" x="97"/>
        <item m="1" x="53"/>
        <item m="1" x="179"/>
        <item m="1" x="128"/>
        <item m="1" x="129"/>
        <item m="1" x="110"/>
        <item m="1" x="77"/>
        <item m="1" x="159"/>
        <item m="1" x="112"/>
        <item m="1" x="37"/>
        <item m="1" x="71"/>
        <item m="1" x="31"/>
        <item m="1" x="168"/>
        <item m="1" x="91"/>
        <item m="1" x="145"/>
        <item m="1" x="36"/>
        <item m="1" x="81"/>
        <item m="1" x="98"/>
        <item m="1" x="19"/>
        <item m="1" x="156"/>
        <item m="1" x="123"/>
        <item m="1" x="44"/>
        <item m="1" x="144"/>
        <item m="1" x="3"/>
        <item m="1" x="93"/>
        <item m="1" x="170"/>
        <item m="1" x="11"/>
        <item m="1" x="80"/>
        <item m="1" x="69"/>
        <item m="1" x="4"/>
        <item m="1" x="1"/>
        <item m="1" x="133"/>
        <item m="1" x="76"/>
        <item m="1" x="63"/>
        <item m="1" x="138"/>
        <item m="1" x="106"/>
        <item m="1" x="2"/>
        <item m="1" x="67"/>
        <item m="1" x="61"/>
        <item m="1" x="22"/>
        <item m="1" x="88"/>
        <item m="1" x="24"/>
        <item m="1" x="127"/>
        <item m="1" x="7"/>
        <item m="1" x="94"/>
        <item m="1" x="89"/>
        <item m="1" x="114"/>
        <item m="1" x="113"/>
        <item m="1" x="148"/>
        <item m="1" x="132"/>
        <item m="1" x="47"/>
        <item m="1" x="75"/>
        <item m="1" x="70"/>
        <item m="1" x="167"/>
        <item m="1" x="122"/>
        <item m="1" x="174"/>
        <item m="1" x="169"/>
        <item m="1" x="46"/>
        <item m="1" x="83"/>
        <item m="1" x="66"/>
        <item m="1" x="73"/>
        <item m="1" x="14"/>
        <item m="1" x="29"/>
        <item m="1" x="60"/>
        <item m="1" x="62"/>
        <item m="1" x="65"/>
        <item m="1" x="157"/>
        <item m="1" x="49"/>
        <item m="1" x="126"/>
        <item m="1" x="34"/>
        <item m="1" x="41"/>
        <item m="1" x="142"/>
        <item m="1" x="13"/>
        <item m="1" x="87"/>
        <item m="1" x="158"/>
        <item m="1" x="125"/>
        <item m="1" x="38"/>
        <item m="1" x="42"/>
        <item m="1" x="64"/>
        <item m="1" x="72"/>
        <item m="1" x="102"/>
        <item m="1" x="108"/>
        <item m="1" x="82"/>
        <item m="1" x="121"/>
        <item m="1" x="135"/>
        <item m="1" x="104"/>
        <item m="1" x="28"/>
        <item m="1" x="92"/>
        <item m="1" x="85"/>
        <item m="1" x="103"/>
        <item m="1" x="118"/>
        <item m="1" x="165"/>
        <item m="1" x="25"/>
        <item m="1" x="26"/>
        <item m="1" x="176"/>
        <item m="1" x="55"/>
        <item m="1" x="45"/>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41">
        <item m="1" x="65"/>
        <item m="1" x="205"/>
        <item m="1" x="167"/>
        <item m="1" x="130"/>
        <item m="1" x="255"/>
        <item m="1" x="163"/>
        <item m="1" x="141"/>
        <item m="1" x="70"/>
        <item m="1" x="160"/>
        <item m="1" x="326"/>
        <item m="1" x="49"/>
        <item m="1" x="217"/>
        <item m="1" x="339"/>
        <item m="1" x="227"/>
        <item m="1" x="198"/>
        <item m="1" x="282"/>
        <item m="1" x="47"/>
        <item m="1" x="157"/>
        <item m="1" x="20"/>
        <item m="1" x="191"/>
        <item m="1" x="229"/>
        <item m="1" x="120"/>
        <item m="1" x="193"/>
        <item m="1" x="140"/>
        <item m="1" x="262"/>
        <item m="1" x="280"/>
        <item m="1" x="97"/>
        <item m="1" x="122"/>
        <item m="1" x="216"/>
        <item m="1" x="194"/>
        <item m="1" x="235"/>
        <item m="1" x="311"/>
        <item m="1" x="124"/>
        <item m="1" x="113"/>
        <item m="1" x="33"/>
        <item m="1" x="138"/>
        <item m="1" x="71"/>
        <item m="1" x="252"/>
        <item m="1" x="179"/>
        <item m="1" x="174"/>
        <item m="1" x="236"/>
        <item m="1" x="152"/>
        <item m="1" x="116"/>
        <item m="1" x="253"/>
        <item m="1" x="321"/>
        <item m="1" x="324"/>
        <item m="1" x="248"/>
        <item m="1" x="173"/>
        <item m="1" x="111"/>
        <item m="1" x="98"/>
        <item m="1" x="285"/>
        <item m="1" x="81"/>
        <item m="1" x="319"/>
        <item m="1" x="74"/>
        <item m="1" x="249"/>
        <item m="1" x="283"/>
        <item m="1" x="52"/>
        <item m="1" x="171"/>
        <item m="1" x="294"/>
        <item m="1" x="156"/>
        <item m="1" x="315"/>
        <item m="1" x="96"/>
        <item m="1" x="328"/>
        <item m="1" x="340"/>
        <item m="1" x="162"/>
        <item m="1" x="287"/>
        <item m="1" x="327"/>
        <item m="1" x="234"/>
        <item m="1" x="93"/>
        <item m="1" x="84"/>
        <item m="1" x="39"/>
        <item m="1" x="73"/>
        <item m="1" x="208"/>
        <item m="1" x="148"/>
        <item m="1" x="265"/>
        <item m="1" x="46"/>
        <item m="1" x="306"/>
        <item m="1" x="5"/>
        <item m="1" x="40"/>
        <item m="1" x="27"/>
        <item m="1" x="185"/>
        <item m="1" x="247"/>
        <item m="1" x="146"/>
        <item m="1" x="224"/>
        <item m="1" x="211"/>
        <item m="1" x="239"/>
        <item m="1" x="69"/>
        <item m="1" x="106"/>
        <item m="1" x="25"/>
        <item m="1" x="151"/>
        <item m="1" x="210"/>
        <item m="1" x="334"/>
        <item m="1" x="175"/>
        <item m="1" x="186"/>
        <item m="1" x="245"/>
        <item m="1" x="11"/>
        <item m="1" x="312"/>
        <item m="1" x="203"/>
        <item m="1" x="290"/>
        <item m="1" x="187"/>
        <item m="1" x="263"/>
        <item m="1" x="108"/>
        <item m="1" x="279"/>
        <item m="1" x="269"/>
        <item m="1" x="149"/>
        <item m="1" x="238"/>
        <item m="1" x="109"/>
        <item m="1" x="8"/>
        <item m="1" x="188"/>
        <item m="1" x="313"/>
        <item m="1" x="335"/>
        <item m="1" x="270"/>
        <item m="1" x="195"/>
        <item m="1" x="196"/>
        <item m="1" x="45"/>
        <item m="1" x="23"/>
        <item m="1" x="304"/>
        <item m="1" x="110"/>
        <item m="1" x="257"/>
        <item m="1" x="79"/>
        <item m="1" x="1"/>
        <item m="1" x="254"/>
        <item m="1" x="314"/>
        <item m="1" x="284"/>
        <item m="1" x="56"/>
        <item m="1" x="153"/>
        <item m="1" x="320"/>
        <item m="1" x="158"/>
        <item m="1" x="297"/>
        <item m="1" x="17"/>
        <item m="1" x="233"/>
        <item m="1" x="22"/>
        <item m="1" x="67"/>
        <item m="1" x="201"/>
        <item m="1" x="18"/>
        <item m="1" x="240"/>
        <item m="1" x="121"/>
        <item m="1" x="48"/>
        <item m="1" x="184"/>
        <item m="1" x="256"/>
        <item m="1" x="292"/>
        <item m="1" x="218"/>
        <item m="1" x="221"/>
        <item m="1" x="273"/>
        <item m="1" x="127"/>
        <item m="1" x="78"/>
        <item m="1" x="117"/>
        <item m="1" x="135"/>
        <item m="1" x="114"/>
        <item m="1" x="68"/>
        <item m="1" x="333"/>
        <item m="1" x="36"/>
        <item m="1" x="303"/>
        <item m="1" x="112"/>
        <item m="1" x="226"/>
        <item m="1" x="29"/>
        <item m="1" x="215"/>
        <item m="1" x="57"/>
        <item m="1" x="44"/>
        <item m="1" x="26"/>
        <item m="1" x="243"/>
        <item m="1" x="336"/>
        <item m="1" x="6"/>
        <item m="1" x="4"/>
        <item m="1" x="264"/>
        <item m="1" x="154"/>
        <item m="1" x="161"/>
        <item m="1" x="62"/>
        <item m="1" x="58"/>
        <item m="1" x="204"/>
        <item m="1" x="237"/>
        <item m="1" x="202"/>
        <item m="1" x="134"/>
        <item m="1" x="16"/>
        <item m="1" x="82"/>
        <item m="1" x="192"/>
        <item m="1" x="38"/>
        <item m="1" x="332"/>
        <item m="1" x="219"/>
        <item m="1" x="2"/>
        <item m="1" x="76"/>
        <item m="1" x="28"/>
        <item m="1" x="172"/>
        <item m="1" x="322"/>
        <item m="1" x="75"/>
        <item m="1" x="260"/>
        <item m="1" x="139"/>
        <item m="1" x="136"/>
        <item m="1" x="60"/>
        <item m="1" x="125"/>
        <item m="1" x="298"/>
        <item m="1" x="42"/>
        <item m="1" x="91"/>
        <item m="1" x="50"/>
        <item m="1" x="35"/>
        <item m="1" x="159"/>
        <item m="1" x="15"/>
        <item m="1" x="99"/>
        <item m="1" x="288"/>
        <item m="1" x="225"/>
        <item m="1" x="132"/>
        <item m="1" x="337"/>
        <item m="1" x="131"/>
        <item m="1" x="145"/>
        <item m="1" x="291"/>
        <item m="1" x="59"/>
        <item m="1" x="137"/>
        <item m="1" x="268"/>
        <item m="1" x="230"/>
        <item m="1" x="105"/>
        <item m="1" x="251"/>
        <item m="1" x="21"/>
        <item m="1" x="43"/>
        <item m="1" x="103"/>
        <item m="1" x="34"/>
        <item m="1" x="166"/>
        <item m="1" x="267"/>
        <item m="1" x="181"/>
        <item m="1" x="231"/>
        <item m="1" x="180"/>
        <item m="1" x="197"/>
        <item m="1" x="77"/>
        <item m="1" x="90"/>
        <item m="1" x="119"/>
        <item m="1" x="88"/>
        <item m="1" x="61"/>
        <item m="1" x="246"/>
        <item m="1" x="128"/>
        <item m="1" x="271"/>
        <item m="1" x="300"/>
        <item m="1" x="31"/>
        <item m="1" x="295"/>
        <item m="1" x="129"/>
        <item m="1" x="301"/>
        <item m="1" x="318"/>
        <item m="1" x="182"/>
        <item m="1" x="274"/>
        <item m="1" x="281"/>
        <item m="1" x="10"/>
        <item m="1" x="302"/>
        <item m="1" x="266"/>
        <item m="1" x="12"/>
        <item m="1" x="286"/>
        <item m="1" x="331"/>
        <item m="1" x="289"/>
        <item m="1" x="83"/>
        <item m="1" x="115"/>
        <item m="1" x="244"/>
        <item m="1" x="242"/>
        <item m="1" x="150"/>
        <item m="1" x="305"/>
        <item m="1" x="102"/>
        <item m="1" x="80"/>
        <item m="1" x="169"/>
        <item m="1" x="309"/>
        <item m="1" x="200"/>
        <item m="1" x="37"/>
        <item m="1" x="258"/>
        <item m="1" x="189"/>
        <item m="1" x="100"/>
        <item m="1" x="104"/>
        <item m="1" x="261"/>
        <item m="1" x="7"/>
        <item m="1" x="168"/>
        <item m="1" x="330"/>
        <item m="1" x="296"/>
        <item m="1" x="299"/>
        <item m="1" x="165"/>
        <item m="1" x="316"/>
        <item m="1" x="317"/>
        <item m="1" x="177"/>
        <item m="1" x="133"/>
        <item m="1" x="214"/>
        <item m="1" x="338"/>
        <item m="1" x="323"/>
        <item m="1" x="66"/>
        <item m="1" x="250"/>
        <item m="1" x="118"/>
        <item m="1" x="278"/>
        <item m="1" x="164"/>
        <item m="1" x="101"/>
        <item m="1" x="87"/>
        <item m="1" x="54"/>
        <item m="1" x="95"/>
        <item m="1" x="51"/>
        <item m="1" x="213"/>
        <item m="1" x="199"/>
        <item m="1" x="107"/>
        <item m="1" x="142"/>
        <item m="1" x="310"/>
        <item m="1" x="276"/>
        <item m="1" x="212"/>
        <item m="1" x="53"/>
        <item m="1" x="86"/>
        <item m="1" x="9"/>
        <item m="1" x="41"/>
        <item m="1" x="259"/>
        <item m="1" x="220"/>
        <item m="1" x="92"/>
        <item m="1" x="206"/>
        <item m="1" x="126"/>
        <item m="1" x="209"/>
        <item m="1" x="30"/>
        <item m="1" x="72"/>
        <item m="1" x="13"/>
        <item m="1" x="123"/>
        <item m="1" x="19"/>
        <item m="1" x="272"/>
        <item m="1" x="64"/>
        <item m="1" x="325"/>
        <item m="1" x="32"/>
        <item m="1" x="170"/>
        <item m="1" x="63"/>
        <item m="1" x="308"/>
        <item m="1" x="228"/>
        <item m="1" x="147"/>
        <item m="1" x="94"/>
        <item m="1" x="183"/>
        <item m="1" x="155"/>
        <item m="1" x="190"/>
        <item m="1" x="293"/>
        <item m="1" x="85"/>
        <item m="1" x="3"/>
        <item m="1" x="55"/>
        <item m="1" x="232"/>
        <item m="1" x="89"/>
        <item m="1" x="178"/>
        <item m="1" x="207"/>
        <item m="1" x="143"/>
        <item m="1" x="144"/>
        <item m="1" x="329"/>
        <item m="1" x="275"/>
        <item m="1" x="307"/>
        <item m="1" x="241"/>
        <item m="1" x="176"/>
        <item m="1" x="223"/>
        <item m="1" x="277"/>
        <item m="1" x="222"/>
        <item m="1" x="24"/>
        <item m="1" x="14"/>
        <item x="0"/>
      </items>
    </pivotField>
    <pivotField compact="0" outline="0" showAll="0" defaultSubtotal="0"/>
    <pivotField compact="0" outline="0" showAll="0" sortType="ascending" defaultSubtotal="0"/>
    <pivotField axis="axisRow" compact="0" outline="0" showAll="0" defaultSubtotal="0">
      <items count="51">
        <item x="0"/>
        <item m="1" x="27"/>
        <item m="1" x="11"/>
        <item m="1" x="29"/>
        <item m="1" x="48"/>
        <item m="1" x="5"/>
        <item m="1" x="13"/>
        <item m="1" x="20"/>
        <item m="1" x="30"/>
        <item m="1" x="35"/>
        <item m="1" x="40"/>
        <item m="1" x="45"/>
        <item m="1" x="49"/>
        <item m="1" x="2"/>
        <item m="1" x="6"/>
        <item m="1" x="9"/>
        <item m="1" x="14"/>
        <item m="1" x="16"/>
        <item m="1" x="18"/>
        <item m="1" x="19"/>
        <item m="1" x="21"/>
        <item m="1" x="23"/>
        <item m="1" x="25"/>
        <item m="1" x="28"/>
        <item m="1" x="32"/>
        <item m="1" x="34"/>
        <item m="1" x="37"/>
        <item m="1" x="39"/>
        <item m="1" x="42"/>
        <item m="1" x="44"/>
        <item m="1" x="46"/>
        <item m="1" x="47"/>
        <item m="1" x="50"/>
        <item m="1" x="22"/>
        <item m="1" x="1"/>
        <item m="1" x="24"/>
        <item m="1" x="3"/>
        <item m="1" x="26"/>
        <item m="1" x="4"/>
        <item m="1" x="31"/>
        <item m="1" x="7"/>
        <item m="1" x="33"/>
        <item m="1" x="8"/>
        <item m="1" x="36"/>
        <item m="1" x="10"/>
        <item m="1" x="38"/>
        <item m="1" x="12"/>
        <item m="1" x="41"/>
        <item m="1" x="15"/>
        <item m="1" x="43"/>
        <item m="1" x="17"/>
      </items>
    </pivotField>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8">
    <field x="18"/>
    <field x="0"/>
    <field x="1"/>
    <field x="2"/>
    <field x="3"/>
    <field x="4"/>
    <field x="5"/>
    <field x="15"/>
  </rowFields>
  <colFields count="1">
    <field x="-2"/>
  </colFields>
  <colItems count="4">
    <i>
      <x/>
    </i>
    <i i="1">
      <x v="1"/>
    </i>
    <i i="2">
      <x v="2"/>
    </i>
    <i i="3">
      <x v="3"/>
    </i>
  </colItems>
  <dataFields count="4">
    <dataField name="Sum of ab-mid" fld="19" baseField="0" baseItem="0" numFmtId="164"/>
    <dataField name="Sum of ab-high" fld="20" baseField="0" baseItem="0" numFmtId="164"/>
    <dataField name="Sum of dna-mid" fld="21" baseField="0" baseItem="0" numFmtId="164"/>
    <dataField name="Sum of dna-high" fld="22" baseField="0" baseItem="0" numFmtId="164"/>
  </dataFields>
  <pivotTableStyleInfo name="PivotStyleMedium2" showRowHeaders="1" showColHeaders="1" showRowStripes="0" showColStripes="0" showLastColumn="1"/>
  <filters count="2">
    <filter fld="17" type="captionLessThanOrEqual" evalOrder="-1" id="4" stringValue1="20">
      <autoFilter ref="A1">
        <filterColumn colId="0">
          <customFilters>
            <customFilter operator="lessThanOrEqual" val="20"/>
          </customFilters>
        </filterColumn>
      </autoFilter>
    </filter>
    <filter fld="18" type="captionBetween" evalOrder="-1" id="16" stringValue1="1" stringValue2="20">
      <autoFilter ref="A1">
        <filterColumn colId="0">
          <customFilters and="1">
            <customFilter operator="greaterThanOrEqual" val="1"/>
            <customFilter operator="lessThanOrEqual" val="20"/>
          </customFilters>
        </filterColumn>
      </autoFilter>
    </filter>
  </filters>
</pivotTableDefinition>
</file>

<file path=xl/tables/table1.xml><?xml version="1.0" encoding="utf-8"?>
<table xmlns="http://schemas.openxmlformats.org/spreadsheetml/2006/main" id="3" name="Table1" displayName="Table1" ref="A19:S20" totalsRowShown="0">
  <autoFilter ref="A19:S20"/>
  <sortState ref="A8:S134">
    <sortCondition descending="1" ref="A7:A134"/>
  </sortState>
  <tableColumns count="19">
    <tableColumn id="1" name="abundance" dataDxfId="8"/>
    <tableColumn id="2" name="ab-lo" dataDxfId="7"/>
    <tableColumn id="3" name="ab-hi" dataDxfId="6"/>
    <tableColumn id="4" name="dna" dataDxfId="5"/>
    <tableColumn id="5" name="dna-lo" dataDxfId="4"/>
    <tableColumn id="6" name="dna-hi" dataDxfId="3"/>
    <tableColumn id="7" name="confidence"/>
    <tableColumn id="8" name="depth"/>
    <tableColumn id="9" name="breadth"/>
    <tableColumn id="10" name="mapped"/>
    <tableColumn id="20" name="has-ref"/>
    <tableColumn id="19" name="tax-cnt"/>
    <tableColumn id="18" name="tax-id"/>
    <tableColumn id="17" name="prnt-id"/>
    <tableColumn id="12" name="rank"/>
    <tableColumn id="13" name="name"/>
    <tableColumn id="14" name="is-rank" dataDxfId="2">
      <calculatedColumnFormula>IF(Table1[[#This Row],[rank]]=$B$14,1,0)</calculatedColumnFormula>
    </tableColumn>
    <tableColumn id="15" name="cumul-rank" dataDxfId="1">
      <calculatedColumnFormula>Table1[[#This Row],[is-rank]]+IF(ISNUMBER(OFFSET(Table1[[#This Row],[cumul-rank]],-1,0)),OFFSET(Table1[[#This Row],[cumul-rank]],-1,0),0)</calculatedColumnFormula>
    </tableColumn>
    <tableColumn id="16" name="order-rank" dataDxfId="0">
      <calculatedColumnFormula>IF(Table1[[#This Row],[is-rank]]=0,0,Table1[[#This Row],[cumul-rank]])</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U399"/>
  <sheetViews>
    <sheetView tabSelected="1" zoomScale="70" zoomScaleNormal="70" workbookViewId="0">
      <selection activeCell="B4" sqref="B4"/>
    </sheetView>
  </sheetViews>
  <sheetFormatPr defaultColWidth="11" defaultRowHeight="15.75"/>
  <cols>
    <col min="1" max="1" width="15.25" customWidth="1"/>
    <col min="16" max="16" width="48.125" bestFit="1" customWidth="1"/>
    <col min="17" max="19" width="11" customWidth="1"/>
    <col min="21" max="21" width="13.125" hidden="1" customWidth="1"/>
    <col min="22" max="22" width="12.25" customWidth="1"/>
    <col min="23" max="23" width="6.25" customWidth="1"/>
    <col min="24" max="24" width="7.5" customWidth="1"/>
    <col min="25" max="25" width="5.875" customWidth="1"/>
    <col min="26" max="26" width="7.5" customWidth="1"/>
    <col min="27" max="27" width="7.625" customWidth="1"/>
    <col min="28" max="28" width="12.75" bestFit="1" customWidth="1"/>
    <col min="29" max="29" width="8.5" customWidth="1"/>
    <col min="30" max="30" width="8.875" customWidth="1"/>
    <col min="31" max="31" width="10.5" customWidth="1"/>
    <col min="32" max="32" width="10.625" customWidth="1"/>
    <col min="33" max="33" width="13.125" bestFit="1" customWidth="1"/>
    <col min="34" max="34" width="12.25" bestFit="1" customWidth="1"/>
    <col min="35" max="35" width="5.25" customWidth="1"/>
  </cols>
  <sheetData>
    <row r="1" spans="1:6">
      <c r="A1" t="s">
        <v>31</v>
      </c>
    </row>
    <row r="2" spans="1:6">
      <c r="A2" t="s">
        <v>34</v>
      </c>
    </row>
    <row r="3" spans="1:6">
      <c r="A3" t="s">
        <v>37</v>
      </c>
    </row>
    <row r="5" spans="1:6">
      <c r="A5" t="s">
        <v>32</v>
      </c>
    </row>
    <row r="6" spans="1:6">
      <c r="A6" s="1" t="s">
        <v>26</v>
      </c>
      <c r="B6" s="1"/>
      <c r="C6" s="1"/>
      <c r="D6" s="1"/>
      <c r="E6" s="1"/>
      <c r="F6" s="1"/>
    </row>
    <row r="7" spans="1:6">
      <c r="A7" s="1" t="s">
        <v>27</v>
      </c>
      <c r="B7" s="1"/>
      <c r="C7" s="1"/>
      <c r="D7" s="1"/>
      <c r="E7" s="1"/>
      <c r="F7" s="1"/>
    </row>
    <row r="8" spans="1:6">
      <c r="A8" s="1" t="s">
        <v>28</v>
      </c>
      <c r="B8" s="1"/>
      <c r="C8" s="1"/>
      <c r="D8" s="1"/>
      <c r="E8" s="1"/>
      <c r="F8" s="1"/>
    </row>
    <row r="9" spans="1:6">
      <c r="B9" s="1"/>
      <c r="C9" s="1"/>
      <c r="D9" s="1"/>
      <c r="E9" s="1"/>
      <c r="F9" s="1"/>
    </row>
    <row r="10" spans="1:6">
      <c r="A10" s="1" t="s">
        <v>33</v>
      </c>
      <c r="B10" s="1"/>
      <c r="C10" s="1"/>
      <c r="D10" s="1"/>
      <c r="E10" s="1"/>
      <c r="F10" s="1"/>
    </row>
    <row r="11" spans="1:6">
      <c r="A11" s="1" t="s">
        <v>30</v>
      </c>
      <c r="B11" s="1"/>
      <c r="C11" s="1"/>
      <c r="D11" s="1"/>
      <c r="E11" s="1"/>
      <c r="F11" s="1"/>
    </row>
    <row r="12" spans="1:6">
      <c r="A12" s="1"/>
      <c r="B12" s="1"/>
      <c r="C12" s="1"/>
      <c r="D12" s="1"/>
      <c r="E12" s="1"/>
      <c r="F12" s="1"/>
    </row>
    <row r="13" spans="1:6">
      <c r="A13" s="1" t="s">
        <v>25</v>
      </c>
      <c r="C13" s="1"/>
      <c r="D13" s="1"/>
      <c r="E13" s="1"/>
      <c r="F13" s="1"/>
    </row>
    <row r="14" spans="1:6">
      <c r="A14" s="1" t="s">
        <v>35</v>
      </c>
      <c r="B14" s="8" t="s">
        <v>0</v>
      </c>
    </row>
    <row r="15" spans="1:6">
      <c r="A15" s="1"/>
      <c r="B15" s="2"/>
      <c r="C15" s="1"/>
      <c r="D15" s="1"/>
      <c r="E15" s="1"/>
      <c r="F15" s="1"/>
    </row>
    <row r="16" spans="1:6">
      <c r="A16" s="1" t="s">
        <v>36</v>
      </c>
      <c r="B16" s="2"/>
      <c r="C16" s="1"/>
      <c r="D16" s="1"/>
      <c r="E16" s="1"/>
      <c r="F16" s="1"/>
    </row>
    <row r="17" spans="1:21">
      <c r="A17" s="1" t="s">
        <v>29</v>
      </c>
      <c r="B17" s="1"/>
      <c r="C17" s="1"/>
      <c r="D17" s="1"/>
      <c r="E17" s="1"/>
      <c r="F17" s="1"/>
    </row>
    <row r="18" spans="1:21">
      <c r="A18" s="1"/>
      <c r="B18" s="1"/>
      <c r="C18" s="1"/>
      <c r="D18" s="1"/>
      <c r="E18" s="1"/>
      <c r="F18" s="1"/>
    </row>
    <row r="19" spans="1:21">
      <c r="A19" s="1" t="s">
        <v>1</v>
      </c>
      <c r="B19" s="1" t="s">
        <v>9</v>
      </c>
      <c r="C19" s="1" t="s">
        <v>8</v>
      </c>
      <c r="D19" s="1" t="s">
        <v>2</v>
      </c>
      <c r="E19" s="1" t="s">
        <v>11</v>
      </c>
      <c r="F19" s="1" t="s">
        <v>10</v>
      </c>
      <c r="G19" t="s">
        <v>18</v>
      </c>
      <c r="H19" t="s">
        <v>5</v>
      </c>
      <c r="I19" t="s">
        <v>3</v>
      </c>
      <c r="J19" t="s">
        <v>4</v>
      </c>
      <c r="K19" t="s">
        <v>24</v>
      </c>
      <c r="L19" t="s">
        <v>13</v>
      </c>
      <c r="M19" t="s">
        <v>12</v>
      </c>
      <c r="N19" t="s">
        <v>14</v>
      </c>
      <c r="O19" t="s">
        <v>6</v>
      </c>
      <c r="P19" t="s">
        <v>7</v>
      </c>
      <c r="Q19" t="s">
        <v>15</v>
      </c>
      <c r="R19" t="s">
        <v>16</v>
      </c>
      <c r="S19" t="s">
        <v>17</v>
      </c>
      <c r="U19" s="5" t="s">
        <v>38</v>
      </c>
    </row>
    <row r="20" spans="1:21">
      <c r="A20" s="10"/>
      <c r="B20" s="10"/>
      <c r="C20" s="10"/>
      <c r="D20" s="10"/>
      <c r="E20" s="10"/>
      <c r="F20" s="10"/>
      <c r="G20" s="11"/>
      <c r="H20" s="10"/>
      <c r="I20" s="10"/>
      <c r="J20" s="10"/>
      <c r="K20" s="10"/>
      <c r="L20" s="10"/>
      <c r="M20" s="10"/>
      <c r="N20" s="10"/>
      <c r="O20" s="10"/>
      <c r="P20" s="10"/>
      <c r="Q20">
        <f>IF(Table1[[#This Row],[rank]]=$B$14,1,0)</f>
        <v>0</v>
      </c>
      <c r="R20" s="3">
        <f ca="1">Table1[[#This Row],[is-rank]]+IF(ISNUMBER(OFFSET(Table1[[#This Row],[cumul-rank]],-1,0)),OFFSET(Table1[[#This Row],[cumul-rank]],-1,0),0)</f>
        <v>0</v>
      </c>
      <c r="S20">
        <f>IF(Table1[[#This Row],[is-rank]]=0,0,Table1[[#This Row],[cumul-rank]])</f>
        <v>0</v>
      </c>
    </row>
    <row r="21" spans="1:21">
      <c r="A21" s="9"/>
      <c r="B21" s="9"/>
      <c r="C21" s="9"/>
      <c r="D21" s="9"/>
      <c r="E21" s="9"/>
      <c r="F21" s="9"/>
      <c r="G21" s="11"/>
      <c r="H21" s="10"/>
      <c r="I21" s="10"/>
      <c r="J21" s="10"/>
      <c r="K21" s="10"/>
      <c r="L21" s="10"/>
      <c r="M21" s="10"/>
      <c r="N21" s="10"/>
      <c r="O21" s="10"/>
      <c r="P21" s="10"/>
      <c r="Q21" s="3"/>
      <c r="R21" s="3"/>
      <c r="S21" s="3"/>
    </row>
    <row r="22" spans="1:21">
      <c r="A22" s="9"/>
      <c r="B22" s="9"/>
      <c r="C22" s="9"/>
      <c r="D22" s="9"/>
      <c r="E22" s="9"/>
      <c r="F22" s="9"/>
      <c r="G22" s="11"/>
      <c r="H22" s="10"/>
      <c r="I22" s="10"/>
      <c r="J22" s="10"/>
      <c r="K22" s="10"/>
      <c r="L22" s="10"/>
      <c r="M22" s="10"/>
      <c r="N22" s="10"/>
      <c r="O22" s="10"/>
      <c r="P22" s="10"/>
      <c r="Q22" s="3"/>
      <c r="R22" s="3"/>
      <c r="S22" s="3"/>
    </row>
    <row r="23" spans="1:21">
      <c r="A23" s="9"/>
      <c r="B23" s="9"/>
      <c r="C23" s="9"/>
      <c r="D23" s="9"/>
      <c r="E23" s="9"/>
      <c r="F23" s="9"/>
      <c r="G23" s="11"/>
      <c r="H23" s="10"/>
      <c r="I23" s="10"/>
      <c r="J23" s="10"/>
      <c r="K23" s="10"/>
      <c r="L23" s="10"/>
      <c r="M23" s="10"/>
      <c r="N23" s="10"/>
      <c r="O23" s="10"/>
      <c r="P23" s="10"/>
      <c r="Q23" s="3"/>
      <c r="R23" s="3"/>
      <c r="S23" s="3"/>
    </row>
    <row r="24" spans="1:21">
      <c r="A24" s="9"/>
      <c r="B24" s="9"/>
      <c r="C24" s="9"/>
      <c r="D24" s="9"/>
      <c r="E24" s="9"/>
      <c r="F24" s="9"/>
      <c r="G24" s="11"/>
      <c r="H24" s="10"/>
      <c r="I24" s="10"/>
      <c r="J24" s="10"/>
      <c r="K24" s="10"/>
      <c r="L24" s="10"/>
      <c r="M24" s="10"/>
      <c r="N24" s="10"/>
      <c r="O24" s="10"/>
      <c r="P24" s="10"/>
      <c r="Q24" s="3"/>
      <c r="R24" s="3"/>
      <c r="S24" s="3"/>
    </row>
    <row r="25" spans="1:21">
      <c r="A25" s="9"/>
      <c r="B25" s="9"/>
      <c r="C25" s="9"/>
      <c r="D25" s="9"/>
      <c r="E25" s="9"/>
      <c r="F25" s="9"/>
      <c r="G25" s="11"/>
      <c r="H25" s="10"/>
      <c r="I25" s="10"/>
      <c r="J25" s="10"/>
      <c r="K25" s="10"/>
      <c r="L25" s="10"/>
      <c r="M25" s="10"/>
      <c r="N25" s="10"/>
      <c r="O25" s="10"/>
      <c r="P25" s="10"/>
      <c r="Q25" s="3"/>
      <c r="R25" s="3"/>
      <c r="S25" s="3"/>
    </row>
    <row r="26" spans="1:21">
      <c r="A26" s="9"/>
      <c r="B26" s="9"/>
      <c r="C26" s="9"/>
      <c r="D26" s="9"/>
      <c r="E26" s="9"/>
      <c r="F26" s="9"/>
      <c r="G26" s="11"/>
      <c r="H26" s="10"/>
      <c r="I26" s="10"/>
      <c r="J26" s="10"/>
      <c r="K26" s="10"/>
      <c r="L26" s="10"/>
      <c r="M26" s="10"/>
      <c r="N26" s="10"/>
      <c r="O26" s="10"/>
      <c r="P26" s="10"/>
      <c r="Q26" s="3"/>
      <c r="R26" s="3"/>
      <c r="S26" s="3"/>
    </row>
    <row r="27" spans="1:21">
      <c r="A27" s="9"/>
      <c r="B27" s="9"/>
      <c r="C27" s="9"/>
      <c r="D27" s="9"/>
      <c r="E27" s="9"/>
      <c r="F27" s="9"/>
      <c r="G27" s="11"/>
      <c r="H27" s="10"/>
      <c r="I27" s="10"/>
      <c r="J27" s="10"/>
      <c r="K27" s="10"/>
      <c r="L27" s="10"/>
      <c r="M27" s="10"/>
      <c r="N27" s="10"/>
      <c r="O27" s="10"/>
      <c r="P27" s="10"/>
      <c r="Q27" s="3"/>
      <c r="R27" s="3"/>
      <c r="S27" s="3"/>
    </row>
    <row r="28" spans="1:21">
      <c r="A28" s="9"/>
      <c r="B28" s="9"/>
      <c r="C28" s="9"/>
      <c r="D28" s="9"/>
      <c r="E28" s="9"/>
      <c r="F28" s="9"/>
      <c r="G28" s="11"/>
      <c r="H28" s="10"/>
      <c r="I28" s="10"/>
      <c r="J28" s="10"/>
      <c r="K28" s="10"/>
      <c r="L28" s="10"/>
      <c r="M28" s="10"/>
      <c r="N28" s="10"/>
      <c r="O28" s="10"/>
      <c r="P28" s="10"/>
      <c r="Q28" s="3"/>
      <c r="R28" s="3"/>
      <c r="S28" s="3"/>
    </row>
    <row r="29" spans="1:21">
      <c r="A29" s="9"/>
      <c r="B29" s="9"/>
      <c r="C29" s="9"/>
      <c r="D29" s="9"/>
      <c r="E29" s="9"/>
      <c r="F29" s="9"/>
      <c r="G29" s="11"/>
      <c r="H29" s="10"/>
      <c r="I29" s="10"/>
      <c r="J29" s="10"/>
      <c r="K29" s="10"/>
      <c r="L29" s="10"/>
      <c r="M29" s="10"/>
      <c r="N29" s="10"/>
      <c r="O29" s="10"/>
      <c r="P29" s="10"/>
      <c r="Q29" s="3"/>
      <c r="R29" s="3"/>
      <c r="S29" s="3"/>
    </row>
    <row r="30" spans="1:21">
      <c r="A30" s="9"/>
      <c r="B30" s="9"/>
      <c r="C30" s="9"/>
      <c r="D30" s="9"/>
      <c r="E30" s="9"/>
      <c r="F30" s="9"/>
      <c r="G30" s="11"/>
      <c r="H30" s="10"/>
      <c r="I30" s="10"/>
      <c r="J30" s="10"/>
      <c r="K30" s="10"/>
      <c r="L30" s="10"/>
      <c r="M30" s="10"/>
      <c r="N30" s="10"/>
      <c r="O30" s="10"/>
      <c r="P30" s="10"/>
      <c r="Q30" s="3"/>
      <c r="R30" s="3"/>
      <c r="S30" s="3"/>
    </row>
    <row r="31" spans="1:21">
      <c r="A31" s="9"/>
      <c r="B31" s="9"/>
      <c r="C31" s="9"/>
      <c r="D31" s="9"/>
      <c r="E31" s="9"/>
      <c r="F31" s="9"/>
      <c r="G31" s="11"/>
      <c r="H31" s="10"/>
      <c r="I31" s="10"/>
      <c r="J31" s="10"/>
      <c r="K31" s="10"/>
      <c r="L31" s="10"/>
      <c r="M31" s="10"/>
      <c r="N31" s="10"/>
      <c r="O31" s="10"/>
      <c r="P31" s="10"/>
      <c r="Q31" s="3"/>
      <c r="R31" s="3"/>
      <c r="S31" s="3"/>
    </row>
    <row r="32" spans="1:21">
      <c r="A32" s="9"/>
      <c r="B32" s="9"/>
      <c r="C32" s="9"/>
      <c r="D32" s="9"/>
      <c r="E32" s="9"/>
      <c r="F32" s="9"/>
      <c r="G32" s="11"/>
      <c r="H32" s="10"/>
      <c r="I32" s="10"/>
      <c r="J32" s="10"/>
      <c r="K32" s="10"/>
      <c r="L32" s="10"/>
      <c r="M32" s="10"/>
      <c r="N32" s="10"/>
      <c r="O32" s="10"/>
      <c r="P32" s="10"/>
      <c r="Q32" s="3"/>
      <c r="R32" s="3"/>
      <c r="S32" s="3"/>
    </row>
    <row r="33" spans="1:19">
      <c r="A33" s="9"/>
      <c r="B33" s="9"/>
      <c r="C33" s="9"/>
      <c r="D33" s="9"/>
      <c r="E33" s="9"/>
      <c r="F33" s="9"/>
      <c r="G33" s="11"/>
      <c r="H33" s="10"/>
      <c r="I33" s="10"/>
      <c r="J33" s="10"/>
      <c r="K33" s="10"/>
      <c r="L33" s="10"/>
      <c r="M33" s="10"/>
      <c r="N33" s="10"/>
      <c r="O33" s="10"/>
      <c r="P33" s="10"/>
      <c r="Q33" s="3"/>
      <c r="R33" s="3"/>
      <c r="S33" s="3"/>
    </row>
    <row r="34" spans="1:19">
      <c r="A34" s="9"/>
      <c r="B34" s="9"/>
      <c r="C34" s="9"/>
      <c r="D34" s="9"/>
      <c r="E34" s="9"/>
      <c r="F34" s="9"/>
      <c r="G34" s="11"/>
      <c r="H34" s="10"/>
      <c r="I34" s="10"/>
      <c r="J34" s="10"/>
      <c r="K34" s="10"/>
      <c r="L34" s="10"/>
      <c r="M34" s="10"/>
      <c r="N34" s="10"/>
      <c r="O34" s="10"/>
      <c r="P34" s="10"/>
      <c r="Q34" s="3"/>
      <c r="R34" s="3"/>
      <c r="S34" s="3"/>
    </row>
    <row r="35" spans="1:19">
      <c r="A35" s="9"/>
      <c r="B35" s="9"/>
      <c r="C35" s="9"/>
      <c r="D35" s="9"/>
      <c r="E35" s="9"/>
      <c r="F35" s="9"/>
      <c r="G35" s="11"/>
      <c r="H35" s="10"/>
      <c r="I35" s="10"/>
      <c r="J35" s="10"/>
      <c r="K35" s="10"/>
      <c r="L35" s="10"/>
      <c r="M35" s="10"/>
      <c r="N35" s="10"/>
      <c r="O35" s="10"/>
      <c r="P35" s="10"/>
      <c r="Q35" s="3"/>
      <c r="R35" s="3"/>
      <c r="S35" s="3"/>
    </row>
    <row r="36" spans="1:19">
      <c r="A36" s="9"/>
      <c r="B36" s="9"/>
      <c r="C36" s="9"/>
      <c r="D36" s="9"/>
      <c r="E36" s="9"/>
      <c r="F36" s="9"/>
      <c r="G36" s="11"/>
      <c r="H36" s="10"/>
      <c r="I36" s="10"/>
      <c r="J36" s="10"/>
      <c r="K36" s="10"/>
      <c r="L36" s="10"/>
      <c r="M36" s="10"/>
      <c r="N36" s="10"/>
      <c r="O36" s="10"/>
      <c r="P36" s="10"/>
      <c r="Q36" s="3"/>
      <c r="R36" s="3"/>
      <c r="S36" s="3"/>
    </row>
    <row r="37" spans="1:19">
      <c r="A37" s="9"/>
      <c r="B37" s="9"/>
      <c r="C37" s="9"/>
      <c r="D37" s="9"/>
      <c r="E37" s="9"/>
      <c r="F37" s="9"/>
      <c r="G37" s="11"/>
      <c r="H37" s="10"/>
      <c r="I37" s="10"/>
      <c r="J37" s="10"/>
      <c r="K37" s="10"/>
      <c r="L37" s="10"/>
      <c r="M37" s="10"/>
      <c r="N37" s="10"/>
      <c r="O37" s="10"/>
      <c r="P37" s="10"/>
      <c r="Q37" s="3"/>
      <c r="R37" s="3"/>
      <c r="S37" s="3"/>
    </row>
    <row r="38" spans="1:19">
      <c r="A38" s="9"/>
      <c r="B38" s="9"/>
      <c r="C38" s="9"/>
      <c r="D38" s="9"/>
      <c r="E38" s="9"/>
      <c r="F38" s="9"/>
      <c r="G38" s="11"/>
      <c r="H38" s="10"/>
      <c r="I38" s="10"/>
      <c r="J38" s="10"/>
      <c r="K38" s="10"/>
      <c r="L38" s="10"/>
      <c r="M38" s="10"/>
      <c r="N38" s="10"/>
      <c r="O38" s="10"/>
      <c r="P38" s="10"/>
      <c r="Q38" s="3"/>
      <c r="R38" s="3"/>
      <c r="S38" s="3"/>
    </row>
    <row r="39" spans="1:19">
      <c r="A39" s="9"/>
      <c r="B39" s="9"/>
      <c r="C39" s="9"/>
      <c r="D39" s="9"/>
      <c r="E39" s="9"/>
      <c r="F39" s="9"/>
      <c r="G39" s="11"/>
      <c r="H39" s="10"/>
      <c r="I39" s="10"/>
      <c r="J39" s="10"/>
      <c r="K39" s="10"/>
      <c r="L39" s="10"/>
      <c r="M39" s="10"/>
      <c r="N39" s="10"/>
      <c r="O39" s="10"/>
      <c r="P39" s="10"/>
      <c r="Q39" s="3"/>
      <c r="R39" s="3"/>
      <c r="S39" s="3"/>
    </row>
    <row r="40" spans="1:19">
      <c r="A40" s="9"/>
      <c r="B40" s="9"/>
      <c r="C40" s="9"/>
      <c r="D40" s="9"/>
      <c r="E40" s="9"/>
      <c r="F40" s="9"/>
      <c r="G40" s="11"/>
      <c r="H40" s="10"/>
      <c r="I40" s="10"/>
      <c r="J40" s="10"/>
      <c r="K40" s="10"/>
      <c r="L40" s="10"/>
      <c r="M40" s="10"/>
      <c r="N40" s="10"/>
      <c r="O40" s="10"/>
      <c r="P40" s="10"/>
      <c r="Q40" s="3"/>
      <c r="R40" s="3"/>
      <c r="S40" s="3"/>
    </row>
    <row r="41" spans="1:19">
      <c r="A41" s="9"/>
      <c r="B41" s="9"/>
      <c r="C41" s="9"/>
      <c r="D41" s="9"/>
      <c r="E41" s="9"/>
      <c r="F41" s="9"/>
      <c r="G41" s="11"/>
      <c r="H41" s="10"/>
      <c r="I41" s="10"/>
      <c r="J41" s="10"/>
      <c r="K41" s="10"/>
      <c r="L41" s="10"/>
      <c r="M41" s="10"/>
      <c r="N41" s="10"/>
      <c r="O41" s="10"/>
      <c r="P41" s="10"/>
      <c r="Q41" s="3"/>
      <c r="R41" s="3"/>
      <c r="S41" s="3"/>
    </row>
    <row r="42" spans="1:19">
      <c r="A42" s="9"/>
      <c r="B42" s="9"/>
      <c r="C42" s="9"/>
      <c r="D42" s="9"/>
      <c r="E42" s="9"/>
      <c r="F42" s="9"/>
      <c r="G42" s="11"/>
      <c r="H42" s="10"/>
      <c r="I42" s="10"/>
      <c r="J42" s="10"/>
      <c r="K42" s="10"/>
      <c r="L42" s="10"/>
      <c r="M42" s="10"/>
      <c r="N42" s="10"/>
      <c r="O42" s="10"/>
      <c r="P42" s="10"/>
      <c r="Q42" s="3"/>
      <c r="R42" s="3"/>
      <c r="S42" s="3"/>
    </row>
    <row r="43" spans="1:19">
      <c r="A43" s="9"/>
      <c r="B43" s="9"/>
      <c r="C43" s="9"/>
      <c r="D43" s="9"/>
      <c r="E43" s="9"/>
      <c r="F43" s="9"/>
      <c r="G43" s="11"/>
      <c r="H43" s="10"/>
      <c r="I43" s="10"/>
      <c r="J43" s="10"/>
      <c r="K43" s="10"/>
      <c r="L43" s="10"/>
      <c r="M43" s="10"/>
      <c r="N43" s="10"/>
      <c r="O43" s="10"/>
      <c r="P43" s="10"/>
      <c r="Q43" s="3"/>
      <c r="R43" s="3"/>
      <c r="S43" s="3"/>
    </row>
    <row r="44" spans="1:19">
      <c r="A44" s="9"/>
      <c r="B44" s="9"/>
      <c r="C44" s="9"/>
      <c r="D44" s="9"/>
      <c r="E44" s="9"/>
      <c r="F44" s="9"/>
      <c r="G44" s="11"/>
      <c r="H44" s="10"/>
      <c r="I44" s="10"/>
      <c r="J44" s="10"/>
      <c r="K44" s="10"/>
      <c r="L44" s="10"/>
      <c r="M44" s="10"/>
      <c r="N44" s="10"/>
      <c r="O44" s="10"/>
      <c r="P44" s="10"/>
      <c r="Q44" s="3"/>
      <c r="R44" s="3"/>
      <c r="S44" s="3"/>
    </row>
    <row r="45" spans="1:19">
      <c r="A45" s="9"/>
      <c r="B45" s="9"/>
      <c r="C45" s="9"/>
      <c r="D45" s="9"/>
      <c r="E45" s="9"/>
      <c r="F45" s="9"/>
      <c r="G45" s="11"/>
      <c r="H45" s="10"/>
      <c r="I45" s="10"/>
      <c r="J45" s="10"/>
      <c r="K45" s="10"/>
      <c r="L45" s="10"/>
      <c r="M45" s="10"/>
      <c r="N45" s="10"/>
      <c r="O45" s="10"/>
      <c r="P45" s="10"/>
      <c r="Q45" s="3"/>
      <c r="R45" s="3"/>
      <c r="S45" s="3"/>
    </row>
    <row r="46" spans="1:19">
      <c r="A46" s="9"/>
      <c r="B46" s="9"/>
      <c r="C46" s="9"/>
      <c r="D46" s="9"/>
      <c r="E46" s="9"/>
      <c r="F46" s="9"/>
      <c r="G46" s="11"/>
      <c r="H46" s="10"/>
      <c r="I46" s="10"/>
      <c r="J46" s="10"/>
      <c r="K46" s="10"/>
      <c r="L46" s="10"/>
      <c r="M46" s="10"/>
      <c r="N46" s="10"/>
      <c r="O46" s="10"/>
      <c r="P46" s="10"/>
      <c r="Q46" s="3"/>
      <c r="R46" s="3"/>
      <c r="S46" s="3"/>
    </row>
    <row r="47" spans="1:19">
      <c r="A47" s="9"/>
      <c r="B47" s="9"/>
      <c r="C47" s="9"/>
      <c r="D47" s="9"/>
      <c r="E47" s="9"/>
      <c r="F47" s="9"/>
      <c r="G47" s="10"/>
      <c r="H47" s="10"/>
      <c r="I47" s="10"/>
      <c r="J47" s="10"/>
      <c r="K47" s="10"/>
      <c r="L47" s="10"/>
      <c r="M47" s="10"/>
      <c r="N47" s="10"/>
      <c r="O47" s="10"/>
      <c r="P47" s="10"/>
      <c r="Q47" s="3"/>
      <c r="R47" s="3"/>
      <c r="S47" s="3"/>
    </row>
    <row r="48" spans="1:19">
      <c r="A48" s="9"/>
      <c r="B48" s="9"/>
      <c r="C48" s="9"/>
      <c r="D48" s="9"/>
      <c r="E48" s="9"/>
      <c r="F48" s="9"/>
      <c r="G48" s="11"/>
      <c r="H48" s="10"/>
      <c r="I48" s="10"/>
      <c r="J48" s="10"/>
      <c r="K48" s="10"/>
      <c r="L48" s="10"/>
      <c r="M48" s="10"/>
      <c r="N48" s="10"/>
      <c r="O48" s="10"/>
      <c r="P48" s="10"/>
      <c r="Q48" s="3"/>
      <c r="R48" s="3"/>
      <c r="S48" s="3"/>
    </row>
    <row r="49" spans="1:19">
      <c r="A49" s="9"/>
      <c r="B49" s="9"/>
      <c r="C49" s="9"/>
      <c r="D49" s="9"/>
      <c r="E49" s="9"/>
      <c r="F49" s="9"/>
      <c r="G49" s="11"/>
      <c r="H49" s="10"/>
      <c r="I49" s="10"/>
      <c r="J49" s="10"/>
      <c r="K49" s="10"/>
      <c r="L49" s="10"/>
      <c r="M49" s="10"/>
      <c r="N49" s="10"/>
      <c r="O49" s="10"/>
      <c r="P49" s="10"/>
      <c r="Q49" s="3"/>
      <c r="R49" s="3"/>
      <c r="S49" s="3"/>
    </row>
    <row r="50" spans="1:19">
      <c r="A50" s="9"/>
      <c r="B50" s="9"/>
      <c r="C50" s="9"/>
      <c r="D50" s="9"/>
      <c r="E50" s="9"/>
      <c r="F50" s="9"/>
      <c r="G50" s="11"/>
      <c r="H50" s="10"/>
      <c r="I50" s="10"/>
      <c r="J50" s="10"/>
      <c r="K50" s="10"/>
      <c r="L50" s="10"/>
      <c r="M50" s="10"/>
      <c r="N50" s="10"/>
      <c r="O50" s="10"/>
      <c r="P50" s="10"/>
      <c r="Q50" s="3"/>
      <c r="R50" s="3"/>
      <c r="S50" s="3"/>
    </row>
    <row r="51" spans="1:19">
      <c r="A51" s="9"/>
      <c r="B51" s="9"/>
      <c r="C51" s="9"/>
      <c r="D51" s="9"/>
      <c r="E51" s="9"/>
      <c r="F51" s="9"/>
      <c r="G51" s="11"/>
      <c r="H51" s="10"/>
      <c r="I51" s="10"/>
      <c r="J51" s="10"/>
      <c r="K51" s="10"/>
      <c r="L51" s="10"/>
      <c r="M51" s="10"/>
      <c r="N51" s="10"/>
      <c r="O51" s="10"/>
      <c r="P51" s="10"/>
      <c r="Q51" s="3"/>
      <c r="R51" s="3"/>
      <c r="S51" s="3"/>
    </row>
    <row r="52" spans="1:19">
      <c r="A52" s="9"/>
      <c r="B52" s="9"/>
      <c r="C52" s="9"/>
      <c r="D52" s="9"/>
      <c r="E52" s="9"/>
      <c r="F52" s="9"/>
      <c r="G52" s="11"/>
      <c r="H52" s="10"/>
      <c r="I52" s="10"/>
      <c r="J52" s="10"/>
      <c r="K52" s="10"/>
      <c r="L52" s="10"/>
      <c r="M52" s="10"/>
      <c r="N52" s="10"/>
      <c r="O52" s="10"/>
      <c r="P52" s="10"/>
      <c r="Q52" s="3"/>
      <c r="R52" s="3"/>
      <c r="S52" s="3"/>
    </row>
    <row r="53" spans="1:19">
      <c r="A53" s="9"/>
      <c r="B53" s="9"/>
      <c r="C53" s="9"/>
      <c r="D53" s="9"/>
      <c r="E53" s="9"/>
      <c r="F53" s="9"/>
      <c r="G53" s="11"/>
      <c r="H53" s="10"/>
      <c r="I53" s="10"/>
      <c r="J53" s="10"/>
      <c r="K53" s="10"/>
      <c r="L53" s="10"/>
      <c r="M53" s="10"/>
      <c r="N53" s="10"/>
      <c r="O53" s="10"/>
      <c r="P53" s="10"/>
      <c r="Q53" s="3"/>
      <c r="R53" s="3"/>
      <c r="S53" s="3"/>
    </row>
    <row r="54" spans="1:19">
      <c r="A54" s="9"/>
      <c r="B54" s="9"/>
      <c r="C54" s="9"/>
      <c r="D54" s="9"/>
      <c r="E54" s="9"/>
      <c r="F54" s="9"/>
      <c r="G54" s="11"/>
      <c r="H54" s="10"/>
      <c r="I54" s="10"/>
      <c r="J54" s="10"/>
      <c r="K54" s="10"/>
      <c r="L54" s="10"/>
      <c r="M54" s="10"/>
      <c r="N54" s="10"/>
      <c r="O54" s="10"/>
      <c r="P54" s="10"/>
      <c r="Q54" s="3"/>
      <c r="R54" s="3"/>
      <c r="S54" s="3"/>
    </row>
    <row r="55" spans="1:19">
      <c r="A55" s="9"/>
      <c r="B55" s="9"/>
      <c r="C55" s="9"/>
      <c r="D55" s="9"/>
      <c r="E55" s="9"/>
      <c r="F55" s="9"/>
      <c r="G55" s="11"/>
      <c r="H55" s="10"/>
      <c r="I55" s="10"/>
      <c r="J55" s="10"/>
      <c r="K55" s="10"/>
      <c r="L55" s="10"/>
      <c r="M55" s="10"/>
      <c r="N55" s="10"/>
      <c r="O55" s="10"/>
      <c r="P55" s="10"/>
      <c r="Q55" s="3"/>
      <c r="R55" s="3"/>
      <c r="S55" s="3"/>
    </row>
    <row r="56" spans="1:19">
      <c r="A56" s="9"/>
      <c r="B56" s="9"/>
      <c r="C56" s="9"/>
      <c r="D56" s="9"/>
      <c r="E56" s="9"/>
      <c r="F56" s="9"/>
      <c r="G56" s="11"/>
      <c r="H56" s="10"/>
      <c r="I56" s="10"/>
      <c r="J56" s="10"/>
      <c r="K56" s="10"/>
      <c r="L56" s="10"/>
      <c r="M56" s="10"/>
      <c r="N56" s="10"/>
      <c r="O56" s="10"/>
      <c r="P56" s="10"/>
      <c r="Q56" s="3"/>
      <c r="R56" s="3"/>
      <c r="S56" s="3"/>
    </row>
    <row r="57" spans="1:19">
      <c r="A57" s="9"/>
      <c r="B57" s="9"/>
      <c r="C57" s="9"/>
      <c r="D57" s="9"/>
      <c r="E57" s="9"/>
      <c r="F57" s="9"/>
      <c r="G57" s="11"/>
      <c r="H57" s="10"/>
      <c r="I57" s="10"/>
      <c r="J57" s="10"/>
      <c r="K57" s="10"/>
      <c r="L57" s="10"/>
      <c r="M57" s="10"/>
      <c r="N57" s="10"/>
      <c r="O57" s="10"/>
      <c r="P57" s="10"/>
      <c r="Q57" s="3"/>
      <c r="R57" s="3"/>
      <c r="S57" s="3"/>
    </row>
    <row r="58" spans="1:19">
      <c r="A58" s="9"/>
      <c r="B58" s="9"/>
      <c r="C58" s="9"/>
      <c r="D58" s="9"/>
      <c r="E58" s="9"/>
      <c r="F58" s="9"/>
      <c r="G58" s="11"/>
      <c r="H58" s="10"/>
      <c r="I58" s="10"/>
      <c r="J58" s="10"/>
      <c r="K58" s="10"/>
      <c r="L58" s="10"/>
      <c r="M58" s="10"/>
      <c r="N58" s="10"/>
      <c r="O58" s="10"/>
      <c r="P58" s="10"/>
      <c r="Q58" s="3"/>
      <c r="R58" s="3"/>
      <c r="S58" s="3"/>
    </row>
    <row r="59" spans="1:19">
      <c r="A59" s="9"/>
      <c r="B59" s="9"/>
      <c r="C59" s="9"/>
      <c r="D59" s="9"/>
      <c r="E59" s="9"/>
      <c r="F59" s="9"/>
      <c r="G59" s="11"/>
      <c r="H59" s="10"/>
      <c r="I59" s="10"/>
      <c r="J59" s="10"/>
      <c r="K59" s="10"/>
      <c r="L59" s="10"/>
      <c r="M59" s="10"/>
      <c r="N59" s="10"/>
      <c r="O59" s="10"/>
      <c r="P59" s="10"/>
      <c r="Q59" s="3"/>
      <c r="R59" s="3"/>
      <c r="S59" s="3"/>
    </row>
    <row r="60" spans="1:19">
      <c r="A60" s="9"/>
      <c r="B60" s="9"/>
      <c r="C60" s="9"/>
      <c r="D60" s="9"/>
      <c r="E60" s="9"/>
      <c r="F60" s="9"/>
      <c r="G60" s="11"/>
      <c r="H60" s="10"/>
      <c r="I60" s="10"/>
      <c r="J60" s="10"/>
      <c r="K60" s="10"/>
      <c r="L60" s="10"/>
      <c r="M60" s="10"/>
      <c r="N60" s="10"/>
      <c r="O60" s="10"/>
      <c r="P60" s="10"/>
      <c r="Q60" s="3"/>
      <c r="R60" s="3"/>
      <c r="S60" s="3"/>
    </row>
    <row r="61" spans="1:19">
      <c r="A61" s="9"/>
      <c r="B61" s="9"/>
      <c r="C61" s="9"/>
      <c r="D61" s="9"/>
      <c r="E61" s="9"/>
      <c r="F61" s="9"/>
      <c r="G61" s="11"/>
      <c r="H61" s="10"/>
      <c r="I61" s="10"/>
      <c r="J61" s="10"/>
      <c r="K61" s="10"/>
      <c r="L61" s="10"/>
      <c r="M61" s="10"/>
      <c r="N61" s="10"/>
      <c r="O61" s="10"/>
      <c r="P61" s="10"/>
      <c r="Q61" s="3"/>
      <c r="R61" s="3"/>
      <c r="S61" s="3"/>
    </row>
    <row r="62" spans="1:19">
      <c r="A62" s="9"/>
      <c r="B62" s="9"/>
      <c r="C62" s="9"/>
      <c r="D62" s="9"/>
      <c r="E62" s="9"/>
      <c r="F62" s="9"/>
      <c r="G62" s="11"/>
      <c r="H62" s="11"/>
      <c r="I62" s="11"/>
      <c r="J62" s="10"/>
      <c r="K62" s="10"/>
      <c r="L62" s="10"/>
      <c r="M62" s="10"/>
      <c r="N62" s="10"/>
      <c r="O62" s="10"/>
      <c r="P62" s="10"/>
      <c r="Q62" s="3"/>
      <c r="R62" s="3"/>
      <c r="S62" s="3"/>
    </row>
    <row r="63" spans="1:19">
      <c r="A63" s="9"/>
      <c r="B63" s="9"/>
      <c r="C63" s="9"/>
      <c r="D63" s="9"/>
      <c r="E63" s="9"/>
      <c r="F63" s="9"/>
      <c r="G63" s="10"/>
      <c r="H63" s="10"/>
      <c r="I63" s="10"/>
      <c r="J63" s="10"/>
      <c r="K63" s="10"/>
      <c r="L63" s="10"/>
      <c r="M63" s="10"/>
      <c r="N63" s="10"/>
      <c r="O63" s="10"/>
      <c r="P63" s="10"/>
      <c r="Q63" s="3"/>
      <c r="R63" s="3"/>
      <c r="S63" s="3"/>
    </row>
    <row r="64" spans="1:19">
      <c r="A64" s="9"/>
      <c r="B64" s="9"/>
      <c r="C64" s="9"/>
      <c r="D64" s="9"/>
      <c r="E64" s="9"/>
      <c r="F64" s="9"/>
      <c r="G64" s="10"/>
      <c r="H64" s="10"/>
      <c r="I64" s="10"/>
      <c r="J64" s="10"/>
      <c r="K64" s="10"/>
      <c r="L64" s="10"/>
      <c r="M64" s="10"/>
      <c r="N64" s="10"/>
      <c r="O64" s="10"/>
      <c r="P64" s="10"/>
      <c r="Q64" s="3"/>
      <c r="R64" s="3"/>
      <c r="S64" s="3"/>
    </row>
    <row r="65" spans="1:19">
      <c r="A65" s="9"/>
      <c r="B65" s="9"/>
      <c r="C65" s="9"/>
      <c r="D65" s="9"/>
      <c r="E65" s="9"/>
      <c r="F65" s="9"/>
      <c r="G65" s="10"/>
      <c r="H65" s="10"/>
      <c r="I65" s="10"/>
      <c r="J65" s="10"/>
      <c r="K65" s="10"/>
      <c r="L65" s="10"/>
      <c r="M65" s="10"/>
      <c r="N65" s="10"/>
      <c r="O65" s="10"/>
      <c r="P65" s="10"/>
      <c r="Q65" s="3"/>
      <c r="R65" s="3"/>
      <c r="S65" s="3"/>
    </row>
    <row r="66" spans="1:19">
      <c r="A66" s="9"/>
      <c r="B66" s="9"/>
      <c r="C66" s="9"/>
      <c r="D66" s="9"/>
      <c r="E66" s="9"/>
      <c r="F66" s="9"/>
      <c r="G66" s="11"/>
      <c r="H66" s="10"/>
      <c r="I66" s="10"/>
      <c r="J66" s="10"/>
      <c r="K66" s="10"/>
      <c r="L66" s="10"/>
      <c r="M66" s="10"/>
      <c r="N66" s="10"/>
      <c r="O66" s="10"/>
      <c r="P66" s="10"/>
      <c r="Q66" s="3"/>
      <c r="R66" s="3"/>
      <c r="S66" s="3"/>
    </row>
    <row r="67" spans="1:19">
      <c r="A67" s="9"/>
      <c r="B67" s="9"/>
      <c r="C67" s="9"/>
      <c r="D67" s="9"/>
      <c r="E67" s="9"/>
      <c r="F67" s="9"/>
      <c r="G67" s="11"/>
      <c r="H67" s="10"/>
      <c r="I67" s="10"/>
      <c r="J67" s="10"/>
      <c r="K67" s="10"/>
      <c r="L67" s="10"/>
      <c r="M67" s="10"/>
      <c r="N67" s="10"/>
      <c r="O67" s="10"/>
      <c r="P67" s="10"/>
      <c r="Q67" s="3"/>
      <c r="R67" s="3"/>
      <c r="S67" s="3"/>
    </row>
    <row r="68" spans="1:19">
      <c r="A68" s="9"/>
      <c r="B68" s="9"/>
      <c r="C68" s="9"/>
      <c r="D68" s="9"/>
      <c r="E68" s="9"/>
      <c r="F68" s="9"/>
      <c r="G68" s="11"/>
      <c r="H68" s="10"/>
      <c r="I68" s="10"/>
      <c r="J68" s="10"/>
      <c r="K68" s="10"/>
      <c r="L68" s="10"/>
      <c r="M68" s="10"/>
      <c r="N68" s="10"/>
      <c r="O68" s="10"/>
      <c r="P68" s="10"/>
      <c r="Q68" s="3"/>
      <c r="R68" s="3"/>
      <c r="S68" s="3"/>
    </row>
    <row r="69" spans="1:19">
      <c r="A69" s="9"/>
      <c r="B69" s="9"/>
      <c r="C69" s="9"/>
      <c r="D69" s="9"/>
      <c r="E69" s="9"/>
      <c r="F69" s="9"/>
      <c r="G69" s="11"/>
      <c r="H69" s="10"/>
      <c r="I69" s="10"/>
      <c r="J69" s="10"/>
      <c r="K69" s="10"/>
      <c r="L69" s="10"/>
      <c r="M69" s="10"/>
      <c r="N69" s="10"/>
      <c r="O69" s="10"/>
      <c r="P69" s="10"/>
      <c r="Q69" s="3"/>
      <c r="R69" s="3"/>
      <c r="S69" s="3"/>
    </row>
    <row r="70" spans="1:19">
      <c r="A70" s="9"/>
      <c r="B70" s="9"/>
      <c r="C70" s="9"/>
      <c r="D70" s="9"/>
      <c r="E70" s="9"/>
      <c r="F70" s="9"/>
      <c r="G70" s="11"/>
      <c r="H70" s="10"/>
      <c r="I70" s="10"/>
      <c r="J70" s="10"/>
      <c r="K70" s="10"/>
      <c r="L70" s="10"/>
      <c r="M70" s="10"/>
      <c r="N70" s="10"/>
      <c r="O70" s="10"/>
      <c r="P70" s="10"/>
      <c r="Q70" s="3"/>
      <c r="R70" s="3"/>
      <c r="S70" s="3"/>
    </row>
    <row r="71" spans="1:19">
      <c r="A71" s="9"/>
      <c r="B71" s="9"/>
      <c r="C71" s="9"/>
      <c r="D71" s="9"/>
      <c r="E71" s="9"/>
      <c r="F71" s="9"/>
      <c r="G71" s="11"/>
      <c r="H71" s="11"/>
      <c r="I71" s="10"/>
      <c r="J71" s="10"/>
      <c r="K71" s="10"/>
      <c r="L71" s="10"/>
      <c r="M71" s="10"/>
      <c r="N71" s="10"/>
      <c r="O71" s="10"/>
      <c r="P71" s="10"/>
      <c r="Q71" s="3"/>
      <c r="R71" s="3"/>
      <c r="S71" s="3"/>
    </row>
    <row r="72" spans="1:19">
      <c r="A72" s="9"/>
      <c r="B72" s="9"/>
      <c r="C72" s="9"/>
      <c r="D72" s="9"/>
      <c r="E72" s="9"/>
      <c r="F72" s="9"/>
      <c r="G72" s="11"/>
      <c r="H72" s="10"/>
      <c r="I72" s="10"/>
      <c r="J72" s="10"/>
      <c r="K72" s="10"/>
      <c r="L72" s="10"/>
      <c r="M72" s="10"/>
      <c r="N72" s="10"/>
      <c r="O72" s="10"/>
      <c r="P72" s="10"/>
      <c r="Q72" s="3"/>
      <c r="R72" s="3"/>
      <c r="S72" s="3"/>
    </row>
    <row r="73" spans="1:19">
      <c r="A73" s="9"/>
      <c r="B73" s="9"/>
      <c r="C73" s="9"/>
      <c r="D73" s="9"/>
      <c r="E73" s="9"/>
      <c r="F73" s="9"/>
      <c r="G73" s="10"/>
      <c r="H73" s="10"/>
      <c r="I73" s="10"/>
      <c r="J73" s="10"/>
      <c r="K73" s="10"/>
      <c r="L73" s="10"/>
      <c r="M73" s="10"/>
      <c r="N73" s="10"/>
      <c r="O73" s="10"/>
      <c r="P73" s="10"/>
      <c r="Q73" s="3"/>
      <c r="R73" s="3"/>
      <c r="S73" s="3"/>
    </row>
    <row r="74" spans="1:19">
      <c r="A74" s="9"/>
      <c r="B74" s="9"/>
      <c r="C74" s="9"/>
      <c r="D74" s="9"/>
      <c r="E74" s="9"/>
      <c r="F74" s="9"/>
      <c r="G74" s="10"/>
      <c r="H74" s="10"/>
      <c r="I74" s="10"/>
      <c r="J74" s="10"/>
      <c r="K74" s="10"/>
      <c r="L74" s="10"/>
      <c r="M74" s="10"/>
      <c r="N74" s="10"/>
      <c r="O74" s="10"/>
      <c r="P74" s="10"/>
      <c r="Q74" s="3"/>
      <c r="R74" s="3"/>
      <c r="S74" s="3"/>
    </row>
    <row r="75" spans="1:19">
      <c r="A75" s="9"/>
      <c r="B75" s="9"/>
      <c r="C75" s="9"/>
      <c r="D75" s="9"/>
      <c r="E75" s="9"/>
      <c r="F75" s="9"/>
      <c r="G75" s="11"/>
      <c r="H75" s="10"/>
      <c r="I75" s="10"/>
      <c r="J75" s="10"/>
      <c r="K75" s="10"/>
      <c r="L75" s="10"/>
      <c r="M75" s="10"/>
      <c r="N75" s="10"/>
      <c r="O75" s="10"/>
      <c r="P75" s="10"/>
      <c r="Q75" s="3"/>
      <c r="R75" s="3"/>
      <c r="S75" s="3"/>
    </row>
    <row r="76" spans="1:19">
      <c r="A76" s="9"/>
      <c r="B76" s="9"/>
      <c r="C76" s="9"/>
      <c r="D76" s="9"/>
      <c r="E76" s="9"/>
      <c r="F76" s="9"/>
      <c r="G76" s="11"/>
      <c r="H76" s="10"/>
      <c r="I76" s="10"/>
      <c r="J76" s="10"/>
      <c r="K76" s="10"/>
      <c r="L76" s="10"/>
      <c r="M76" s="10"/>
      <c r="N76" s="10"/>
      <c r="O76" s="10"/>
      <c r="P76" s="10"/>
      <c r="Q76" s="3"/>
      <c r="R76" s="3"/>
      <c r="S76" s="3"/>
    </row>
    <row r="77" spans="1:19">
      <c r="A77" s="9"/>
      <c r="B77" s="9"/>
      <c r="C77" s="9"/>
      <c r="D77" s="9"/>
      <c r="E77" s="9"/>
      <c r="F77" s="9"/>
      <c r="G77" s="11"/>
      <c r="H77" s="10"/>
      <c r="I77" s="10"/>
      <c r="J77" s="10"/>
      <c r="K77" s="10"/>
      <c r="L77" s="10"/>
      <c r="M77" s="10"/>
      <c r="N77" s="10"/>
      <c r="O77" s="10"/>
      <c r="P77" s="10"/>
      <c r="Q77" s="3"/>
      <c r="R77" s="3"/>
      <c r="S77" s="3"/>
    </row>
    <row r="78" spans="1:19">
      <c r="A78" s="9"/>
      <c r="B78" s="9"/>
      <c r="C78" s="9"/>
      <c r="D78" s="9"/>
      <c r="E78" s="9"/>
      <c r="F78" s="9"/>
      <c r="G78" s="11"/>
      <c r="H78" s="10"/>
      <c r="I78" s="10"/>
      <c r="J78" s="10"/>
      <c r="K78" s="10"/>
      <c r="L78" s="10"/>
      <c r="M78" s="10"/>
      <c r="N78" s="10"/>
      <c r="O78" s="10"/>
      <c r="P78" s="10"/>
      <c r="Q78" s="3"/>
      <c r="R78" s="3"/>
      <c r="S78" s="3"/>
    </row>
    <row r="79" spans="1:19">
      <c r="A79" s="9"/>
      <c r="B79" s="9"/>
      <c r="C79" s="9"/>
      <c r="D79" s="9"/>
      <c r="E79" s="9"/>
      <c r="F79" s="9"/>
      <c r="G79" s="11"/>
      <c r="H79" s="10"/>
      <c r="I79" s="10"/>
      <c r="J79" s="10"/>
      <c r="K79" s="10"/>
      <c r="L79" s="10"/>
      <c r="M79" s="10"/>
      <c r="N79" s="10"/>
      <c r="O79" s="10"/>
      <c r="P79" s="10"/>
      <c r="Q79" s="3"/>
      <c r="R79" s="3"/>
      <c r="S79" s="3"/>
    </row>
    <row r="80" spans="1:19">
      <c r="A80" s="9"/>
      <c r="B80" s="9"/>
      <c r="C80" s="9"/>
      <c r="D80" s="9"/>
      <c r="E80" s="9"/>
      <c r="F80" s="9"/>
      <c r="G80" s="10"/>
      <c r="H80" s="10"/>
      <c r="I80" s="10"/>
      <c r="J80" s="10"/>
      <c r="K80" s="10"/>
      <c r="L80" s="10"/>
      <c r="M80" s="10"/>
      <c r="N80" s="10"/>
      <c r="O80" s="10"/>
      <c r="P80" s="10"/>
      <c r="Q80" s="3"/>
      <c r="R80" s="3"/>
      <c r="S80" s="3"/>
    </row>
    <row r="81" spans="1:19">
      <c r="A81" s="9"/>
      <c r="B81" s="9"/>
      <c r="C81" s="9"/>
      <c r="D81" s="9"/>
      <c r="E81" s="9"/>
      <c r="F81" s="9"/>
      <c r="G81" s="10"/>
      <c r="H81" s="10"/>
      <c r="I81" s="10"/>
      <c r="J81" s="10"/>
      <c r="K81" s="10"/>
      <c r="L81" s="10"/>
      <c r="M81" s="10"/>
      <c r="N81" s="10"/>
      <c r="O81" s="10"/>
      <c r="P81" s="10"/>
      <c r="Q81" s="3"/>
      <c r="R81" s="3"/>
      <c r="S81" s="3"/>
    </row>
    <row r="82" spans="1:19">
      <c r="A82" s="9"/>
      <c r="B82" s="9"/>
      <c r="C82" s="9"/>
      <c r="D82" s="9"/>
      <c r="E82" s="9"/>
      <c r="F82" s="9"/>
      <c r="G82" s="10"/>
      <c r="H82" s="10"/>
      <c r="I82" s="10"/>
      <c r="J82" s="10"/>
      <c r="K82" s="10"/>
      <c r="L82" s="10"/>
      <c r="M82" s="10"/>
      <c r="N82" s="10"/>
      <c r="O82" s="10"/>
      <c r="P82" s="10"/>
      <c r="Q82" s="3"/>
      <c r="R82" s="3"/>
      <c r="S82" s="3"/>
    </row>
    <row r="83" spans="1:19">
      <c r="A83" s="9"/>
      <c r="B83" s="9"/>
      <c r="C83" s="9"/>
      <c r="D83" s="9"/>
      <c r="E83" s="9"/>
      <c r="F83" s="9"/>
      <c r="G83" s="10"/>
      <c r="H83" s="10"/>
      <c r="I83" s="10"/>
      <c r="J83" s="10"/>
      <c r="K83" s="10"/>
      <c r="L83" s="10"/>
      <c r="M83" s="10"/>
      <c r="N83" s="10"/>
      <c r="O83" s="10"/>
      <c r="P83" s="10"/>
      <c r="Q83" s="3"/>
      <c r="R83" s="3"/>
      <c r="S83" s="3"/>
    </row>
    <row r="84" spans="1:19">
      <c r="A84" s="9"/>
      <c r="B84" s="9"/>
      <c r="C84" s="9"/>
      <c r="D84" s="9"/>
      <c r="E84" s="9"/>
      <c r="F84" s="9"/>
      <c r="G84" s="10"/>
      <c r="H84" s="10"/>
      <c r="I84" s="10"/>
      <c r="J84" s="10"/>
      <c r="K84" s="10"/>
      <c r="L84" s="10"/>
      <c r="M84" s="10"/>
      <c r="N84" s="10"/>
      <c r="O84" s="10"/>
      <c r="P84" s="10"/>
      <c r="Q84" s="3"/>
      <c r="R84" s="3"/>
      <c r="S84" s="3"/>
    </row>
    <row r="85" spans="1:19">
      <c r="A85" s="9"/>
      <c r="B85" s="9"/>
      <c r="C85" s="9"/>
      <c r="D85" s="9"/>
      <c r="E85" s="9"/>
      <c r="F85" s="9"/>
      <c r="G85" s="10"/>
      <c r="H85" s="10"/>
      <c r="I85" s="10"/>
      <c r="J85" s="10"/>
      <c r="K85" s="10"/>
      <c r="L85" s="10"/>
      <c r="M85" s="10"/>
      <c r="N85" s="10"/>
      <c r="O85" s="10"/>
      <c r="P85" s="10"/>
      <c r="Q85" s="3"/>
      <c r="R85" s="3"/>
      <c r="S85" s="3"/>
    </row>
    <row r="86" spans="1:19">
      <c r="A86" s="9"/>
      <c r="B86" s="9"/>
      <c r="C86" s="9"/>
      <c r="D86" s="9"/>
      <c r="E86" s="9"/>
      <c r="F86" s="9"/>
      <c r="G86" s="10"/>
      <c r="H86" s="10"/>
      <c r="I86" s="10"/>
      <c r="J86" s="10"/>
      <c r="K86" s="10"/>
      <c r="L86" s="10"/>
      <c r="M86" s="10"/>
      <c r="N86" s="10"/>
      <c r="O86" s="10"/>
      <c r="P86" s="10"/>
      <c r="Q86" s="3"/>
      <c r="R86" s="3"/>
      <c r="S86" s="3"/>
    </row>
    <row r="87" spans="1:19">
      <c r="A87" s="9"/>
      <c r="B87" s="9"/>
      <c r="C87" s="9"/>
      <c r="D87" s="9"/>
      <c r="E87" s="9"/>
      <c r="F87" s="9"/>
      <c r="G87" s="10"/>
      <c r="H87" s="10"/>
      <c r="I87" s="10"/>
      <c r="J87" s="10"/>
      <c r="K87" s="10"/>
      <c r="L87" s="10"/>
      <c r="M87" s="10"/>
      <c r="N87" s="10"/>
      <c r="O87" s="10"/>
      <c r="P87" s="10"/>
      <c r="Q87" s="3"/>
      <c r="R87" s="3"/>
      <c r="S87" s="3"/>
    </row>
    <row r="88" spans="1:19">
      <c r="A88" s="9"/>
      <c r="B88" s="9"/>
      <c r="C88" s="9"/>
      <c r="D88" s="9"/>
      <c r="E88" s="9"/>
      <c r="F88" s="9"/>
      <c r="G88" s="10"/>
      <c r="H88" s="10"/>
      <c r="I88" s="10"/>
      <c r="J88" s="10"/>
      <c r="K88" s="10"/>
      <c r="L88" s="10"/>
      <c r="M88" s="10"/>
      <c r="N88" s="10"/>
      <c r="O88" s="10"/>
      <c r="P88" s="10"/>
      <c r="Q88" s="3"/>
      <c r="R88" s="3"/>
      <c r="S88" s="3"/>
    </row>
    <row r="89" spans="1:19">
      <c r="A89" s="9"/>
      <c r="B89" s="9"/>
      <c r="C89" s="9"/>
      <c r="D89" s="9"/>
      <c r="E89" s="9"/>
      <c r="F89" s="9"/>
      <c r="G89" s="10"/>
      <c r="H89" s="10"/>
      <c r="I89" s="10"/>
      <c r="J89" s="10"/>
      <c r="K89" s="10"/>
      <c r="L89" s="10"/>
      <c r="M89" s="10"/>
      <c r="N89" s="10"/>
      <c r="O89" s="10"/>
      <c r="P89" s="10"/>
      <c r="Q89" s="3"/>
      <c r="R89" s="3"/>
      <c r="S89" s="3"/>
    </row>
    <row r="90" spans="1:19">
      <c r="A90" s="9"/>
      <c r="B90" s="9"/>
      <c r="C90" s="9"/>
      <c r="D90" s="9"/>
      <c r="E90" s="9"/>
      <c r="F90" s="9"/>
      <c r="G90" s="10"/>
      <c r="H90" s="10"/>
      <c r="I90" s="10"/>
      <c r="J90" s="10"/>
      <c r="K90" s="10"/>
      <c r="L90" s="10"/>
      <c r="M90" s="10"/>
      <c r="N90" s="10"/>
      <c r="O90" s="10"/>
      <c r="P90" s="10"/>
      <c r="Q90" s="3"/>
      <c r="R90" s="3"/>
      <c r="S90" s="3"/>
    </row>
    <row r="91" spans="1:19">
      <c r="A91" s="9"/>
      <c r="B91" s="9"/>
      <c r="C91" s="9"/>
      <c r="D91" s="9"/>
      <c r="E91" s="9"/>
      <c r="F91" s="9"/>
      <c r="G91" s="10"/>
      <c r="H91" s="10"/>
      <c r="I91" s="10"/>
      <c r="J91" s="10"/>
      <c r="K91" s="10"/>
      <c r="L91" s="10"/>
      <c r="M91" s="10"/>
      <c r="N91" s="10"/>
      <c r="O91" s="10"/>
      <c r="P91" s="10"/>
      <c r="Q91" s="3"/>
      <c r="R91" s="3"/>
      <c r="S91" s="3"/>
    </row>
    <row r="92" spans="1:19">
      <c r="A92" s="9"/>
      <c r="B92" s="9"/>
      <c r="C92" s="9"/>
      <c r="D92" s="9"/>
      <c r="E92" s="9"/>
      <c r="F92" s="9"/>
      <c r="G92" s="10"/>
      <c r="H92" s="10"/>
      <c r="I92" s="10"/>
      <c r="J92" s="10"/>
      <c r="K92" s="10"/>
      <c r="L92" s="10"/>
      <c r="M92" s="10"/>
      <c r="N92" s="10"/>
      <c r="O92" s="10"/>
      <c r="P92" s="10"/>
      <c r="Q92" s="3"/>
      <c r="R92" s="3"/>
      <c r="S92" s="3"/>
    </row>
    <row r="93" spans="1:19">
      <c r="A93" s="9"/>
      <c r="B93" s="9"/>
      <c r="C93" s="9"/>
      <c r="D93" s="9"/>
      <c r="E93" s="9"/>
      <c r="F93" s="9"/>
      <c r="G93" s="10"/>
      <c r="H93" s="10"/>
      <c r="I93" s="10"/>
      <c r="J93" s="10"/>
      <c r="K93" s="10"/>
      <c r="L93" s="10"/>
      <c r="M93" s="10"/>
      <c r="N93" s="10"/>
      <c r="O93" s="10"/>
      <c r="P93" s="10"/>
      <c r="Q93" s="3"/>
      <c r="R93" s="3"/>
      <c r="S93" s="3"/>
    </row>
    <row r="94" spans="1:19">
      <c r="A94" s="9"/>
      <c r="B94" s="9"/>
      <c r="C94" s="9"/>
      <c r="D94" s="9"/>
      <c r="E94" s="9"/>
      <c r="F94" s="9"/>
      <c r="G94" s="10"/>
      <c r="H94" s="10"/>
      <c r="I94" s="10"/>
      <c r="J94" s="10"/>
      <c r="K94" s="10"/>
      <c r="L94" s="10"/>
      <c r="M94" s="10"/>
      <c r="N94" s="10"/>
      <c r="O94" s="10"/>
      <c r="P94" s="10"/>
      <c r="Q94" s="3"/>
      <c r="R94" s="3"/>
      <c r="S94" s="3"/>
    </row>
    <row r="95" spans="1:19">
      <c r="A95" s="9"/>
      <c r="B95" s="9"/>
      <c r="C95" s="9"/>
      <c r="D95" s="9"/>
      <c r="E95" s="9"/>
      <c r="F95" s="9"/>
      <c r="G95" s="10"/>
      <c r="H95" s="10"/>
      <c r="I95" s="10"/>
      <c r="J95" s="10"/>
      <c r="K95" s="10"/>
      <c r="L95" s="10"/>
      <c r="M95" s="10"/>
      <c r="N95" s="10"/>
      <c r="O95" s="10"/>
      <c r="P95" s="10"/>
      <c r="Q95" s="3"/>
      <c r="R95" s="3"/>
      <c r="S95" s="3"/>
    </row>
    <row r="96" spans="1:19">
      <c r="A96" s="9"/>
      <c r="B96" s="9"/>
      <c r="C96" s="9"/>
      <c r="D96" s="9"/>
      <c r="E96" s="9"/>
      <c r="F96" s="9"/>
      <c r="G96" s="10"/>
      <c r="H96" s="10"/>
      <c r="I96" s="10"/>
      <c r="J96" s="10"/>
      <c r="K96" s="10"/>
      <c r="L96" s="10"/>
      <c r="M96" s="10"/>
      <c r="N96" s="10"/>
      <c r="O96" s="10"/>
      <c r="P96" s="10"/>
      <c r="Q96" s="3"/>
      <c r="R96" s="3"/>
      <c r="S96" s="3"/>
    </row>
    <row r="97" spans="1:19">
      <c r="A97" s="9"/>
      <c r="B97" s="9"/>
      <c r="C97" s="9"/>
      <c r="D97" s="9"/>
      <c r="E97" s="9"/>
      <c r="F97" s="9"/>
      <c r="G97" s="10"/>
      <c r="H97" s="10"/>
      <c r="I97" s="10"/>
      <c r="J97" s="10"/>
      <c r="K97" s="10"/>
      <c r="L97" s="10"/>
      <c r="M97" s="10"/>
      <c r="N97" s="10"/>
      <c r="O97" s="10"/>
      <c r="P97" s="10"/>
      <c r="Q97" s="3"/>
      <c r="R97" s="3"/>
      <c r="S97" s="3"/>
    </row>
    <row r="98" spans="1:19">
      <c r="A98" s="9"/>
      <c r="B98" s="9"/>
      <c r="C98" s="9"/>
      <c r="D98" s="9"/>
      <c r="E98" s="9"/>
      <c r="F98" s="9"/>
      <c r="G98" s="10"/>
      <c r="H98" s="10"/>
      <c r="I98" s="10"/>
      <c r="J98" s="10"/>
      <c r="K98" s="10"/>
      <c r="L98" s="10"/>
      <c r="M98" s="10"/>
      <c r="N98" s="10"/>
      <c r="O98" s="10"/>
      <c r="P98" s="10"/>
      <c r="Q98" s="3"/>
      <c r="R98" s="3"/>
      <c r="S98" s="3"/>
    </row>
    <row r="99" spans="1:19">
      <c r="A99" s="9"/>
      <c r="B99" s="9"/>
      <c r="C99" s="9"/>
      <c r="D99" s="9"/>
      <c r="E99" s="9"/>
      <c r="F99" s="9"/>
      <c r="G99" s="10"/>
      <c r="H99" s="10"/>
      <c r="I99" s="10"/>
      <c r="J99" s="10"/>
      <c r="K99" s="10"/>
      <c r="L99" s="10"/>
      <c r="M99" s="10"/>
      <c r="N99" s="10"/>
      <c r="O99" s="10"/>
      <c r="P99" s="10"/>
      <c r="Q99" s="3"/>
      <c r="R99" s="3"/>
      <c r="S99" s="3"/>
    </row>
    <row r="100" spans="1:19">
      <c r="A100" s="9"/>
      <c r="B100" s="9"/>
      <c r="C100" s="9"/>
      <c r="D100" s="9"/>
      <c r="E100" s="9"/>
      <c r="F100" s="9"/>
      <c r="G100" s="10"/>
      <c r="H100" s="10"/>
      <c r="I100" s="10"/>
      <c r="J100" s="10"/>
      <c r="K100" s="10"/>
      <c r="L100" s="10"/>
      <c r="M100" s="10"/>
      <c r="N100" s="10"/>
      <c r="O100" s="10"/>
      <c r="P100" s="10"/>
      <c r="Q100" s="3"/>
      <c r="R100" s="3"/>
      <c r="S100" s="3"/>
    </row>
    <row r="101" spans="1:19">
      <c r="A101" s="9"/>
      <c r="B101" s="9"/>
      <c r="C101" s="9"/>
      <c r="D101" s="9"/>
      <c r="E101" s="9"/>
      <c r="F101" s="9"/>
      <c r="G101" s="10"/>
      <c r="H101" s="10"/>
      <c r="I101" s="10"/>
      <c r="J101" s="10"/>
      <c r="K101" s="10"/>
      <c r="L101" s="10"/>
      <c r="M101" s="10"/>
      <c r="N101" s="10"/>
      <c r="O101" s="10"/>
      <c r="P101" s="10"/>
      <c r="Q101" s="3"/>
      <c r="R101" s="3"/>
      <c r="S101" s="3"/>
    </row>
    <row r="102" spans="1:19">
      <c r="A102" s="9"/>
      <c r="B102" s="9"/>
      <c r="C102" s="9"/>
      <c r="D102" s="9"/>
      <c r="E102" s="9"/>
      <c r="F102" s="9"/>
      <c r="G102" s="10"/>
      <c r="H102" s="10"/>
      <c r="I102" s="10"/>
      <c r="J102" s="10"/>
      <c r="K102" s="10"/>
      <c r="L102" s="10"/>
      <c r="M102" s="10"/>
      <c r="N102" s="10"/>
      <c r="O102" s="10"/>
      <c r="P102" s="10"/>
      <c r="Q102" s="3"/>
      <c r="R102" s="3"/>
      <c r="S102" s="3"/>
    </row>
    <row r="103" spans="1:19">
      <c r="A103" s="9"/>
      <c r="B103" s="9"/>
      <c r="C103" s="9"/>
      <c r="D103" s="9"/>
      <c r="E103" s="9"/>
      <c r="F103" s="9"/>
      <c r="G103" s="10"/>
      <c r="H103" s="10"/>
      <c r="I103" s="10"/>
      <c r="J103" s="10"/>
      <c r="K103" s="10"/>
      <c r="L103" s="10"/>
      <c r="M103" s="10"/>
      <c r="N103" s="10"/>
      <c r="O103" s="10"/>
      <c r="P103" s="10"/>
      <c r="Q103" s="3"/>
      <c r="R103" s="3"/>
      <c r="S103" s="3"/>
    </row>
    <row r="104" spans="1:19">
      <c r="A104" s="9"/>
      <c r="B104" s="9"/>
      <c r="C104" s="9"/>
      <c r="D104" s="9"/>
      <c r="E104" s="9"/>
      <c r="F104" s="9"/>
      <c r="G104" s="10"/>
      <c r="H104" s="10"/>
      <c r="I104" s="10"/>
      <c r="J104" s="10"/>
      <c r="K104" s="10"/>
      <c r="L104" s="10"/>
      <c r="M104" s="10"/>
      <c r="N104" s="10"/>
      <c r="O104" s="10"/>
      <c r="P104" s="10"/>
      <c r="Q104" s="3"/>
      <c r="R104" s="3"/>
      <c r="S104" s="3"/>
    </row>
    <row r="105" spans="1:19">
      <c r="A105" s="9"/>
      <c r="B105" s="9"/>
      <c r="C105" s="9"/>
      <c r="D105" s="9"/>
      <c r="E105" s="9"/>
      <c r="F105" s="9"/>
      <c r="G105" s="10"/>
      <c r="H105" s="10"/>
      <c r="I105" s="10"/>
      <c r="J105" s="10"/>
      <c r="K105" s="10"/>
      <c r="L105" s="10"/>
      <c r="M105" s="10"/>
      <c r="N105" s="10"/>
      <c r="O105" s="10"/>
      <c r="P105" s="10"/>
      <c r="Q105" s="3"/>
      <c r="R105" s="3"/>
      <c r="S105" s="3"/>
    </row>
    <row r="106" spans="1:19">
      <c r="A106" s="9"/>
      <c r="B106" s="9"/>
      <c r="C106" s="9"/>
      <c r="D106" s="9"/>
      <c r="E106" s="9"/>
      <c r="F106" s="9"/>
      <c r="G106" s="10"/>
      <c r="H106" s="10"/>
      <c r="I106" s="10"/>
      <c r="J106" s="10"/>
      <c r="K106" s="10"/>
      <c r="L106" s="10"/>
      <c r="M106" s="10"/>
      <c r="N106" s="10"/>
      <c r="O106" s="10"/>
      <c r="P106" s="10"/>
      <c r="Q106" s="3"/>
      <c r="R106" s="3"/>
      <c r="S106" s="3"/>
    </row>
    <row r="107" spans="1:19">
      <c r="A107" s="9"/>
      <c r="B107" s="9"/>
      <c r="C107" s="9"/>
      <c r="D107" s="9"/>
      <c r="E107" s="9"/>
      <c r="F107" s="9"/>
      <c r="G107" s="10"/>
      <c r="H107" s="10"/>
      <c r="I107" s="10"/>
      <c r="J107" s="10"/>
      <c r="K107" s="10"/>
      <c r="L107" s="10"/>
      <c r="M107" s="10"/>
      <c r="N107" s="10"/>
      <c r="O107" s="10"/>
      <c r="P107" s="10"/>
      <c r="Q107" s="3"/>
      <c r="R107" s="3"/>
      <c r="S107" s="3"/>
    </row>
    <row r="108" spans="1:19">
      <c r="A108" s="9"/>
      <c r="B108" s="9"/>
      <c r="C108" s="9"/>
      <c r="D108" s="9"/>
      <c r="E108" s="9"/>
      <c r="F108" s="9"/>
      <c r="G108" s="10"/>
      <c r="H108" s="10"/>
      <c r="I108" s="10"/>
      <c r="J108" s="10"/>
      <c r="K108" s="10"/>
      <c r="L108" s="10"/>
      <c r="M108" s="10"/>
      <c r="N108" s="10"/>
      <c r="O108" s="10"/>
      <c r="P108" s="10"/>
      <c r="Q108" s="3"/>
      <c r="R108" s="3"/>
      <c r="S108" s="3"/>
    </row>
    <row r="109" spans="1:19">
      <c r="A109" s="9"/>
      <c r="B109" s="9"/>
      <c r="C109" s="9"/>
      <c r="D109" s="9"/>
      <c r="E109" s="9"/>
      <c r="F109" s="9"/>
      <c r="G109" s="10"/>
      <c r="H109" s="10"/>
      <c r="I109" s="10"/>
      <c r="J109" s="10"/>
      <c r="K109" s="10"/>
      <c r="L109" s="10"/>
      <c r="M109" s="10"/>
      <c r="N109" s="10"/>
      <c r="O109" s="10"/>
      <c r="P109" s="10"/>
      <c r="Q109" s="3"/>
      <c r="R109" s="3"/>
      <c r="S109" s="3"/>
    </row>
    <row r="110" spans="1:19">
      <c r="A110" s="9"/>
      <c r="B110" s="9"/>
      <c r="C110" s="9"/>
      <c r="D110" s="9"/>
      <c r="E110" s="9"/>
      <c r="F110" s="9"/>
      <c r="G110" s="10"/>
      <c r="H110" s="10"/>
      <c r="I110" s="10"/>
      <c r="J110" s="10"/>
      <c r="K110" s="10"/>
      <c r="L110" s="10"/>
      <c r="M110" s="10"/>
      <c r="N110" s="10"/>
      <c r="O110" s="10"/>
      <c r="P110" s="10"/>
      <c r="Q110" s="3"/>
      <c r="R110" s="3"/>
      <c r="S110" s="3"/>
    </row>
    <row r="111" spans="1:19">
      <c r="A111" s="9"/>
      <c r="B111" s="9"/>
      <c r="C111" s="9"/>
      <c r="D111" s="9"/>
      <c r="E111" s="9"/>
      <c r="F111" s="9"/>
      <c r="G111" s="10"/>
      <c r="H111" s="10"/>
      <c r="I111" s="10"/>
      <c r="J111" s="10"/>
      <c r="K111" s="10"/>
      <c r="L111" s="10"/>
      <c r="M111" s="10"/>
      <c r="N111" s="10"/>
      <c r="O111" s="10"/>
      <c r="P111" s="10"/>
      <c r="Q111" s="3"/>
      <c r="R111" s="3"/>
      <c r="S111" s="3"/>
    </row>
    <row r="112" spans="1:19">
      <c r="A112" s="9"/>
      <c r="B112" s="9"/>
      <c r="C112" s="9"/>
      <c r="D112" s="9"/>
      <c r="E112" s="9"/>
      <c r="F112" s="9"/>
      <c r="G112" s="10"/>
      <c r="H112" s="10"/>
      <c r="I112" s="10"/>
      <c r="J112" s="10"/>
      <c r="K112" s="10"/>
      <c r="L112" s="10"/>
      <c r="M112" s="10"/>
      <c r="N112" s="10"/>
      <c r="O112" s="10"/>
      <c r="P112" s="10"/>
      <c r="Q112" s="3"/>
      <c r="R112" s="3"/>
      <c r="S112" s="3"/>
    </row>
    <row r="113" spans="1:19">
      <c r="A113" s="9"/>
      <c r="B113" s="9"/>
      <c r="C113" s="9"/>
      <c r="D113" s="9"/>
      <c r="E113" s="9"/>
      <c r="F113" s="9"/>
      <c r="G113" s="10"/>
      <c r="H113" s="10"/>
      <c r="I113" s="10"/>
      <c r="J113" s="10"/>
      <c r="K113" s="10"/>
      <c r="L113" s="10"/>
      <c r="M113" s="10"/>
      <c r="N113" s="10"/>
      <c r="O113" s="10"/>
      <c r="P113" s="10"/>
      <c r="Q113" s="3"/>
      <c r="R113" s="3"/>
      <c r="S113" s="3"/>
    </row>
    <row r="114" spans="1:19">
      <c r="A114" s="9"/>
      <c r="B114" s="9"/>
      <c r="C114" s="9"/>
      <c r="D114" s="9"/>
      <c r="E114" s="9"/>
      <c r="F114" s="9"/>
      <c r="G114" s="10"/>
      <c r="H114" s="10"/>
      <c r="I114" s="10"/>
      <c r="J114" s="10"/>
      <c r="K114" s="10"/>
      <c r="L114" s="10"/>
      <c r="M114" s="10"/>
      <c r="N114" s="10"/>
      <c r="O114" s="10"/>
      <c r="P114" s="10"/>
      <c r="Q114" s="3"/>
      <c r="R114" s="3"/>
      <c r="S114" s="3"/>
    </row>
    <row r="115" spans="1:19">
      <c r="A115" s="9"/>
      <c r="B115" s="9"/>
      <c r="C115" s="9"/>
      <c r="D115" s="9"/>
      <c r="E115" s="9"/>
      <c r="F115" s="9"/>
      <c r="G115" s="10"/>
      <c r="H115" s="10"/>
      <c r="I115" s="10"/>
      <c r="J115" s="10"/>
      <c r="K115" s="10"/>
      <c r="L115" s="10"/>
      <c r="M115" s="10"/>
      <c r="N115" s="10"/>
      <c r="O115" s="10"/>
      <c r="P115" s="10"/>
      <c r="Q115" s="3"/>
      <c r="R115" s="3"/>
      <c r="S115" s="3"/>
    </row>
    <row r="116" spans="1:19">
      <c r="A116" s="9"/>
      <c r="B116" s="9"/>
      <c r="C116" s="9"/>
      <c r="D116" s="9"/>
      <c r="E116" s="9"/>
      <c r="F116" s="9"/>
      <c r="G116" s="10"/>
      <c r="H116" s="10"/>
      <c r="I116" s="10"/>
      <c r="J116" s="10"/>
      <c r="K116" s="10"/>
      <c r="L116" s="10"/>
      <c r="M116" s="10"/>
      <c r="N116" s="10"/>
      <c r="O116" s="10"/>
      <c r="P116" s="10"/>
      <c r="Q116" s="3"/>
      <c r="R116" s="3"/>
      <c r="S116" s="3"/>
    </row>
    <row r="117" spans="1:19">
      <c r="A117" s="9"/>
      <c r="B117" s="9"/>
      <c r="C117" s="9"/>
      <c r="D117" s="9"/>
      <c r="E117" s="9"/>
      <c r="F117" s="9"/>
      <c r="G117" s="10"/>
      <c r="H117" s="10"/>
      <c r="I117" s="10"/>
      <c r="J117" s="10"/>
      <c r="K117" s="10"/>
      <c r="L117" s="10"/>
      <c r="M117" s="10"/>
      <c r="N117" s="10"/>
      <c r="O117" s="10"/>
      <c r="P117" s="10"/>
      <c r="Q117" s="3"/>
      <c r="R117" s="3"/>
      <c r="S117" s="3"/>
    </row>
    <row r="118" spans="1:19">
      <c r="A118" s="9"/>
      <c r="B118" s="9"/>
      <c r="C118" s="9"/>
      <c r="D118" s="9"/>
      <c r="E118" s="9"/>
      <c r="F118" s="9"/>
      <c r="G118" s="10"/>
      <c r="H118" s="10"/>
      <c r="I118" s="10"/>
      <c r="J118" s="10"/>
      <c r="K118" s="10"/>
      <c r="L118" s="10"/>
      <c r="M118" s="10"/>
      <c r="N118" s="10"/>
      <c r="O118" s="10"/>
      <c r="P118" s="10"/>
      <c r="Q118" s="3"/>
      <c r="R118" s="3"/>
      <c r="S118" s="3"/>
    </row>
    <row r="119" spans="1:19">
      <c r="A119" s="9"/>
      <c r="B119" s="9"/>
      <c r="C119" s="9"/>
      <c r="D119" s="9"/>
      <c r="E119" s="9"/>
      <c r="F119" s="9"/>
      <c r="G119" s="10"/>
      <c r="H119" s="10"/>
      <c r="I119" s="10"/>
      <c r="J119" s="10"/>
      <c r="K119" s="10"/>
      <c r="L119" s="10"/>
      <c r="M119" s="10"/>
      <c r="N119" s="10"/>
      <c r="O119" s="10"/>
      <c r="P119" s="10"/>
      <c r="Q119" s="3"/>
      <c r="R119" s="3"/>
      <c r="S119" s="3"/>
    </row>
    <row r="120" spans="1:19">
      <c r="A120" s="9"/>
      <c r="B120" s="9"/>
      <c r="C120" s="9"/>
      <c r="D120" s="9"/>
      <c r="E120" s="9"/>
      <c r="F120" s="9"/>
      <c r="G120" s="10"/>
      <c r="H120" s="10"/>
      <c r="I120" s="10"/>
      <c r="J120" s="10"/>
      <c r="K120" s="10"/>
      <c r="L120" s="10"/>
      <c r="M120" s="10"/>
      <c r="N120" s="10"/>
      <c r="O120" s="10"/>
      <c r="P120" s="10"/>
      <c r="Q120" s="3"/>
      <c r="R120" s="3"/>
      <c r="S120" s="3"/>
    </row>
    <row r="121" spans="1:19">
      <c r="A121" s="9"/>
      <c r="B121" s="9"/>
      <c r="C121" s="9"/>
      <c r="D121" s="9"/>
      <c r="E121" s="9"/>
      <c r="F121" s="9"/>
      <c r="G121" s="10"/>
      <c r="H121" s="10"/>
      <c r="I121" s="10"/>
      <c r="J121" s="10"/>
      <c r="K121" s="10"/>
      <c r="L121" s="10"/>
      <c r="M121" s="10"/>
      <c r="N121" s="10"/>
      <c r="O121" s="10"/>
      <c r="P121" s="10"/>
      <c r="Q121" s="3"/>
      <c r="R121" s="3"/>
      <c r="S121" s="3"/>
    </row>
    <row r="122" spans="1:19">
      <c r="A122" s="9"/>
      <c r="B122" s="9"/>
      <c r="C122" s="9"/>
      <c r="D122" s="9"/>
      <c r="E122" s="9"/>
      <c r="F122" s="9"/>
      <c r="G122" s="10"/>
      <c r="H122" s="10"/>
      <c r="I122" s="10"/>
      <c r="J122" s="10"/>
      <c r="K122" s="10"/>
      <c r="L122" s="10"/>
      <c r="M122" s="10"/>
      <c r="N122" s="10"/>
      <c r="O122" s="10"/>
      <c r="P122" s="10"/>
      <c r="Q122" s="3"/>
      <c r="R122" s="3"/>
      <c r="S122" s="3"/>
    </row>
    <row r="123" spans="1:19">
      <c r="A123" s="9"/>
      <c r="B123" s="9"/>
      <c r="C123" s="9"/>
      <c r="D123" s="9"/>
      <c r="E123" s="9"/>
      <c r="F123" s="9"/>
      <c r="G123" s="10"/>
      <c r="H123" s="10"/>
      <c r="I123" s="10"/>
      <c r="J123" s="10"/>
      <c r="K123" s="10"/>
      <c r="L123" s="10"/>
      <c r="M123" s="10"/>
      <c r="N123" s="10"/>
      <c r="O123" s="10"/>
      <c r="P123" s="10"/>
      <c r="Q123" s="3"/>
      <c r="R123" s="3"/>
      <c r="S123" s="3"/>
    </row>
    <row r="124" spans="1:19">
      <c r="A124" s="9"/>
      <c r="B124" s="9"/>
      <c r="C124" s="9"/>
      <c r="D124" s="9"/>
      <c r="E124" s="9"/>
      <c r="F124" s="9"/>
      <c r="G124" s="10"/>
      <c r="H124" s="10"/>
      <c r="I124" s="10"/>
      <c r="J124" s="10"/>
      <c r="K124" s="10"/>
      <c r="L124" s="10"/>
      <c r="M124" s="10"/>
      <c r="N124" s="10"/>
      <c r="O124" s="10"/>
      <c r="P124" s="10"/>
      <c r="Q124" s="3"/>
      <c r="R124" s="3"/>
      <c r="S124" s="3"/>
    </row>
    <row r="125" spans="1:19">
      <c r="A125" s="9"/>
      <c r="B125" s="9"/>
      <c r="C125" s="9"/>
      <c r="D125" s="9"/>
      <c r="E125" s="9"/>
      <c r="F125" s="9"/>
      <c r="G125" s="10"/>
      <c r="H125" s="10"/>
      <c r="I125" s="10"/>
      <c r="J125" s="10"/>
      <c r="K125" s="10"/>
      <c r="L125" s="10"/>
      <c r="M125" s="10"/>
      <c r="N125" s="10"/>
      <c r="O125" s="10"/>
      <c r="P125" s="10"/>
      <c r="Q125" s="3"/>
      <c r="R125" s="3"/>
      <c r="S125" s="3"/>
    </row>
    <row r="126" spans="1:19">
      <c r="A126" s="9"/>
      <c r="B126" s="9"/>
      <c r="C126" s="9"/>
      <c r="D126" s="9"/>
      <c r="E126" s="9"/>
      <c r="F126" s="9"/>
      <c r="G126" s="10"/>
      <c r="H126" s="10"/>
      <c r="I126" s="10"/>
      <c r="J126" s="10"/>
      <c r="K126" s="10"/>
      <c r="L126" s="10"/>
      <c r="M126" s="10"/>
      <c r="N126" s="10"/>
      <c r="O126" s="10"/>
      <c r="P126" s="10"/>
      <c r="Q126" s="3"/>
      <c r="R126" s="3"/>
      <c r="S126" s="3"/>
    </row>
    <row r="127" spans="1:19">
      <c r="A127" s="9"/>
      <c r="B127" s="9"/>
      <c r="C127" s="9"/>
      <c r="D127" s="9"/>
      <c r="E127" s="9"/>
      <c r="F127" s="9"/>
      <c r="G127" s="10"/>
      <c r="H127" s="10"/>
      <c r="I127" s="10"/>
      <c r="J127" s="10"/>
      <c r="K127" s="10"/>
      <c r="L127" s="10"/>
      <c r="M127" s="10"/>
      <c r="N127" s="10"/>
      <c r="O127" s="10"/>
      <c r="P127" s="10"/>
      <c r="Q127" s="3"/>
      <c r="R127" s="3"/>
      <c r="S127" s="3"/>
    </row>
    <row r="128" spans="1:19">
      <c r="A128" s="9"/>
      <c r="B128" s="9"/>
      <c r="C128" s="9"/>
      <c r="D128" s="9"/>
      <c r="E128" s="9"/>
      <c r="F128" s="9"/>
      <c r="G128" s="10"/>
      <c r="H128" s="10"/>
      <c r="I128" s="10"/>
      <c r="J128" s="10"/>
      <c r="K128" s="10"/>
      <c r="L128" s="10"/>
      <c r="M128" s="10"/>
      <c r="N128" s="10"/>
      <c r="O128" s="10"/>
      <c r="P128" s="10"/>
      <c r="Q128" s="3"/>
      <c r="R128" s="3"/>
      <c r="S128" s="3"/>
    </row>
    <row r="129" spans="1:19">
      <c r="A129" s="9"/>
      <c r="B129" s="9"/>
      <c r="C129" s="9"/>
      <c r="D129" s="9"/>
      <c r="E129" s="9"/>
      <c r="F129" s="9"/>
      <c r="G129" s="10"/>
      <c r="H129" s="10"/>
      <c r="I129" s="10"/>
      <c r="J129" s="10"/>
      <c r="K129" s="10"/>
      <c r="L129" s="10"/>
      <c r="M129" s="10"/>
      <c r="N129" s="10"/>
      <c r="O129" s="10"/>
      <c r="P129" s="10"/>
      <c r="Q129" s="3"/>
      <c r="R129" s="3"/>
      <c r="S129" s="3"/>
    </row>
    <row r="130" spans="1:19">
      <c r="A130" s="9"/>
      <c r="B130" s="9"/>
      <c r="C130" s="9"/>
      <c r="D130" s="9"/>
      <c r="E130" s="9"/>
      <c r="F130" s="9"/>
      <c r="G130" s="10"/>
      <c r="H130" s="10"/>
      <c r="I130" s="10"/>
      <c r="J130" s="10"/>
      <c r="K130" s="10"/>
      <c r="L130" s="10"/>
      <c r="M130" s="10"/>
      <c r="N130" s="10"/>
      <c r="O130" s="10"/>
      <c r="P130" s="10"/>
      <c r="Q130" s="3"/>
      <c r="R130" s="3"/>
      <c r="S130" s="3"/>
    </row>
    <row r="131" spans="1:19">
      <c r="A131" s="9"/>
      <c r="B131" s="9"/>
      <c r="C131" s="9"/>
      <c r="D131" s="9"/>
      <c r="E131" s="9"/>
      <c r="F131" s="9"/>
      <c r="G131" s="10"/>
      <c r="H131" s="10"/>
      <c r="I131" s="10"/>
      <c r="J131" s="10"/>
      <c r="K131" s="10"/>
      <c r="L131" s="10"/>
      <c r="M131" s="10"/>
      <c r="N131" s="10"/>
      <c r="O131" s="10"/>
      <c r="P131" s="10"/>
      <c r="Q131" s="3"/>
      <c r="R131" s="3"/>
      <c r="S131" s="3"/>
    </row>
    <row r="132" spans="1:19">
      <c r="A132" s="9"/>
      <c r="B132" s="9"/>
      <c r="C132" s="9"/>
      <c r="D132" s="9"/>
      <c r="E132" s="9"/>
      <c r="F132" s="9"/>
      <c r="G132" s="10"/>
      <c r="H132" s="10"/>
      <c r="I132" s="10"/>
      <c r="J132" s="10"/>
      <c r="K132" s="10"/>
      <c r="L132" s="10"/>
      <c r="M132" s="10"/>
      <c r="N132" s="10"/>
      <c r="O132" s="10"/>
      <c r="P132" s="10"/>
      <c r="Q132" s="3"/>
      <c r="R132" s="3"/>
      <c r="S132" s="3"/>
    </row>
    <row r="133" spans="1:19">
      <c r="A133" s="9"/>
      <c r="B133" s="9"/>
      <c r="C133" s="9"/>
      <c r="D133" s="9"/>
      <c r="E133" s="9"/>
      <c r="F133" s="9"/>
      <c r="G133" s="10"/>
      <c r="H133" s="10"/>
      <c r="I133" s="10"/>
      <c r="J133" s="10"/>
      <c r="K133" s="10"/>
      <c r="L133" s="10"/>
      <c r="M133" s="10"/>
      <c r="N133" s="10"/>
      <c r="O133" s="10"/>
      <c r="P133" s="10"/>
      <c r="Q133" s="3"/>
      <c r="R133" s="3"/>
      <c r="S133" s="3"/>
    </row>
    <row r="134" spans="1:19">
      <c r="A134" s="9"/>
      <c r="B134" s="9"/>
      <c r="C134" s="9"/>
      <c r="D134" s="9"/>
      <c r="E134" s="9"/>
      <c r="F134" s="9"/>
      <c r="G134" s="10"/>
      <c r="H134" s="10"/>
      <c r="I134" s="10"/>
      <c r="J134" s="10"/>
      <c r="K134" s="10"/>
      <c r="L134" s="10"/>
      <c r="M134" s="10"/>
      <c r="N134" s="10"/>
      <c r="O134" s="10"/>
      <c r="P134" s="10"/>
      <c r="Q134" s="3"/>
      <c r="R134" s="3"/>
      <c r="S134" s="3"/>
    </row>
    <row r="135" spans="1:19">
      <c r="A135" s="9"/>
      <c r="B135" s="9"/>
      <c r="C135" s="9"/>
      <c r="D135" s="9"/>
      <c r="E135" s="9"/>
      <c r="F135" s="9"/>
      <c r="G135" s="10"/>
      <c r="H135" s="10"/>
      <c r="I135" s="10"/>
      <c r="J135" s="10"/>
      <c r="K135" s="10"/>
      <c r="L135" s="10"/>
      <c r="M135" s="10"/>
      <c r="N135" s="10"/>
      <c r="O135" s="10"/>
      <c r="P135" s="10"/>
      <c r="Q135" s="3"/>
      <c r="R135" s="3"/>
      <c r="S135" s="3"/>
    </row>
    <row r="136" spans="1:19">
      <c r="A136" s="9"/>
      <c r="B136" s="9"/>
      <c r="C136" s="9"/>
      <c r="D136" s="9"/>
      <c r="E136" s="9"/>
      <c r="F136" s="9"/>
      <c r="G136" s="10"/>
      <c r="H136" s="10"/>
      <c r="I136" s="10"/>
      <c r="J136" s="10"/>
      <c r="K136" s="10"/>
      <c r="L136" s="10"/>
      <c r="M136" s="10"/>
      <c r="N136" s="10"/>
      <c r="O136" s="10"/>
      <c r="P136" s="10"/>
      <c r="Q136" s="3"/>
      <c r="R136" s="3"/>
      <c r="S136" s="3"/>
    </row>
    <row r="137" spans="1:19">
      <c r="A137" s="9"/>
      <c r="B137" s="9"/>
      <c r="C137" s="9"/>
      <c r="D137" s="9"/>
      <c r="E137" s="9"/>
      <c r="F137" s="9"/>
      <c r="G137" s="10"/>
      <c r="H137" s="10"/>
      <c r="I137" s="10"/>
      <c r="J137" s="10"/>
      <c r="K137" s="10"/>
      <c r="L137" s="10"/>
      <c r="M137" s="10"/>
      <c r="N137" s="10"/>
      <c r="O137" s="10"/>
      <c r="P137" s="10"/>
      <c r="Q137" s="3"/>
      <c r="R137" s="3"/>
      <c r="S137" s="3"/>
    </row>
    <row r="138" spans="1:19">
      <c r="A138" s="9"/>
      <c r="B138" s="9"/>
      <c r="C138" s="9"/>
      <c r="D138" s="9"/>
      <c r="E138" s="9"/>
      <c r="F138" s="9"/>
      <c r="G138" s="10"/>
      <c r="H138" s="10"/>
      <c r="I138" s="10"/>
      <c r="J138" s="10"/>
      <c r="K138" s="10"/>
      <c r="L138" s="10"/>
      <c r="M138" s="10"/>
      <c r="N138" s="10"/>
      <c r="O138" s="10"/>
      <c r="P138" s="10"/>
      <c r="Q138" s="3"/>
      <c r="R138" s="3"/>
      <c r="S138" s="3"/>
    </row>
    <row r="139" spans="1:19">
      <c r="A139" s="9"/>
      <c r="B139" s="9"/>
      <c r="C139" s="9"/>
      <c r="D139" s="9"/>
      <c r="E139" s="9"/>
      <c r="F139" s="9"/>
      <c r="G139" s="10"/>
      <c r="H139" s="10"/>
      <c r="I139" s="10"/>
      <c r="J139" s="10"/>
      <c r="K139" s="10"/>
      <c r="L139" s="10"/>
      <c r="M139" s="10"/>
      <c r="N139" s="10"/>
      <c r="O139" s="10"/>
      <c r="P139" s="10"/>
      <c r="Q139" s="3"/>
      <c r="R139" s="3"/>
      <c r="S139" s="3"/>
    </row>
    <row r="140" spans="1:19">
      <c r="A140" s="9"/>
      <c r="B140" s="9"/>
      <c r="C140" s="9"/>
      <c r="D140" s="9"/>
      <c r="E140" s="9"/>
      <c r="F140" s="9"/>
      <c r="G140" s="10"/>
      <c r="H140" s="10"/>
      <c r="I140" s="10"/>
      <c r="J140" s="10"/>
      <c r="K140" s="10"/>
      <c r="L140" s="10"/>
      <c r="M140" s="10"/>
      <c r="N140" s="10"/>
      <c r="O140" s="10"/>
      <c r="P140" s="10"/>
      <c r="Q140" s="3"/>
      <c r="R140" s="3"/>
      <c r="S140" s="3"/>
    </row>
    <row r="141" spans="1:19">
      <c r="A141" s="9"/>
      <c r="B141" s="9"/>
      <c r="C141" s="9"/>
      <c r="D141" s="9"/>
      <c r="E141" s="9"/>
      <c r="F141" s="9"/>
      <c r="G141" s="10"/>
      <c r="H141" s="10"/>
      <c r="I141" s="10"/>
      <c r="J141" s="10"/>
      <c r="K141" s="10"/>
      <c r="L141" s="10"/>
      <c r="M141" s="10"/>
      <c r="N141" s="10"/>
      <c r="O141" s="10"/>
      <c r="P141" s="10"/>
      <c r="Q141" s="3"/>
      <c r="R141" s="3"/>
      <c r="S141" s="3"/>
    </row>
    <row r="142" spans="1:19">
      <c r="A142" s="9"/>
      <c r="B142" s="9"/>
      <c r="C142" s="9"/>
      <c r="D142" s="9"/>
      <c r="E142" s="9"/>
      <c r="F142" s="9"/>
      <c r="G142" s="10"/>
      <c r="H142" s="10"/>
      <c r="I142" s="10"/>
      <c r="J142" s="10"/>
      <c r="K142" s="10"/>
      <c r="L142" s="10"/>
      <c r="M142" s="10"/>
      <c r="N142" s="10"/>
      <c r="O142" s="10"/>
      <c r="P142" s="10"/>
      <c r="Q142" s="3"/>
      <c r="R142" s="3"/>
      <c r="S142" s="3"/>
    </row>
    <row r="143" spans="1:19">
      <c r="A143" s="9"/>
      <c r="B143" s="9"/>
      <c r="C143" s="9"/>
      <c r="D143" s="9"/>
      <c r="E143" s="9"/>
      <c r="F143" s="9"/>
      <c r="G143" s="10"/>
      <c r="H143" s="10"/>
      <c r="I143" s="10"/>
      <c r="J143" s="10"/>
      <c r="K143" s="10"/>
      <c r="L143" s="10"/>
      <c r="M143" s="10"/>
      <c r="N143" s="10"/>
      <c r="O143" s="10"/>
      <c r="P143" s="10"/>
      <c r="Q143" s="3"/>
      <c r="R143" s="3"/>
      <c r="S143" s="3"/>
    </row>
    <row r="144" spans="1:19">
      <c r="A144" s="9"/>
      <c r="B144" s="9"/>
      <c r="C144" s="9"/>
      <c r="D144" s="9"/>
      <c r="E144" s="9"/>
      <c r="F144" s="9"/>
      <c r="G144" s="10"/>
      <c r="H144" s="10"/>
      <c r="I144" s="10"/>
      <c r="J144" s="10"/>
      <c r="K144" s="10"/>
      <c r="L144" s="10"/>
      <c r="M144" s="10"/>
      <c r="N144" s="10"/>
      <c r="O144" s="10"/>
      <c r="P144" s="10"/>
      <c r="Q144" s="3"/>
      <c r="R144" s="3"/>
      <c r="S144" s="3"/>
    </row>
    <row r="145" spans="1:19">
      <c r="A145" s="9"/>
      <c r="B145" s="9"/>
      <c r="C145" s="9"/>
      <c r="D145" s="9"/>
      <c r="E145" s="9"/>
      <c r="F145" s="9"/>
      <c r="G145" s="10"/>
      <c r="H145" s="10"/>
      <c r="I145" s="10"/>
      <c r="J145" s="10"/>
      <c r="K145" s="10"/>
      <c r="L145" s="10"/>
      <c r="M145" s="10"/>
      <c r="N145" s="10"/>
      <c r="O145" s="10"/>
      <c r="P145" s="10"/>
      <c r="Q145" s="3"/>
      <c r="R145" s="3"/>
      <c r="S145" s="3"/>
    </row>
    <row r="146" spans="1:19">
      <c r="A146" s="9"/>
      <c r="B146" s="9"/>
      <c r="C146" s="9"/>
      <c r="D146" s="9"/>
      <c r="E146" s="9"/>
      <c r="F146" s="9"/>
      <c r="G146" s="10"/>
      <c r="H146" s="10"/>
      <c r="I146" s="10"/>
      <c r="J146" s="10"/>
      <c r="K146" s="10"/>
      <c r="L146" s="10"/>
      <c r="M146" s="10"/>
      <c r="N146" s="10"/>
      <c r="O146" s="10"/>
      <c r="P146" s="10"/>
      <c r="Q146" s="3"/>
      <c r="R146" s="3"/>
      <c r="S146" s="3"/>
    </row>
    <row r="147" spans="1:19">
      <c r="A147" s="6"/>
      <c r="B147" s="6"/>
      <c r="C147" s="6"/>
      <c r="D147" s="6"/>
      <c r="E147" s="6"/>
      <c r="F147" s="6"/>
      <c r="G147" s="7"/>
      <c r="H147" s="6"/>
      <c r="I147" s="6"/>
      <c r="J147" s="6"/>
      <c r="K147" s="6"/>
      <c r="L147" s="6"/>
      <c r="M147" s="6"/>
      <c r="N147" s="6"/>
      <c r="O147" s="6"/>
      <c r="P147" s="6"/>
      <c r="R147" s="3"/>
    </row>
    <row r="148" spans="1:19">
      <c r="A148" s="6"/>
      <c r="B148" s="6"/>
      <c r="C148" s="6"/>
      <c r="D148" s="6"/>
      <c r="E148" s="6"/>
      <c r="F148" s="6"/>
      <c r="G148" s="7"/>
      <c r="H148" s="6"/>
      <c r="I148" s="6"/>
      <c r="J148" s="6"/>
      <c r="K148" s="6"/>
      <c r="L148" s="6"/>
      <c r="M148" s="6"/>
      <c r="N148" s="6"/>
      <c r="O148" s="6"/>
      <c r="P148" s="6"/>
      <c r="R148" s="3"/>
    </row>
    <row r="149" spans="1:19">
      <c r="A149" s="6"/>
      <c r="B149" s="6"/>
      <c r="C149" s="6"/>
      <c r="D149" s="6"/>
      <c r="E149" s="6"/>
      <c r="F149" s="6"/>
      <c r="G149" s="7"/>
      <c r="H149" s="6"/>
      <c r="I149" s="6"/>
      <c r="J149" s="6"/>
      <c r="K149" s="6"/>
      <c r="L149" s="6"/>
      <c r="M149" s="6"/>
      <c r="N149" s="6"/>
      <c r="O149" s="6"/>
      <c r="P149" s="6"/>
      <c r="R149" s="3"/>
    </row>
    <row r="150" spans="1:19">
      <c r="A150" s="6"/>
      <c r="B150" s="6"/>
      <c r="C150" s="6"/>
      <c r="D150" s="6"/>
      <c r="E150" s="6"/>
      <c r="F150" s="6"/>
      <c r="G150" s="7"/>
      <c r="H150" s="6"/>
      <c r="I150" s="6"/>
      <c r="J150" s="6"/>
      <c r="K150" s="6"/>
      <c r="L150" s="6"/>
      <c r="M150" s="6"/>
      <c r="N150" s="6"/>
      <c r="O150" s="6"/>
      <c r="P150" s="6"/>
      <c r="R150" s="3"/>
    </row>
    <row r="151" spans="1:19">
      <c r="A151" s="6"/>
      <c r="B151" s="6"/>
      <c r="C151" s="6"/>
      <c r="D151" s="6"/>
      <c r="E151" s="6"/>
      <c r="F151" s="6"/>
      <c r="G151" s="7"/>
      <c r="H151" s="6"/>
      <c r="I151" s="6"/>
      <c r="J151" s="6"/>
      <c r="K151" s="6"/>
      <c r="L151" s="6"/>
      <c r="M151" s="6"/>
      <c r="N151" s="6"/>
      <c r="O151" s="6"/>
      <c r="P151" s="6"/>
      <c r="R151" s="3"/>
    </row>
    <row r="152" spans="1:19">
      <c r="A152" s="6"/>
      <c r="B152" s="6"/>
      <c r="C152" s="6"/>
      <c r="D152" s="6"/>
      <c r="E152" s="6"/>
      <c r="F152" s="6"/>
      <c r="G152" s="7"/>
      <c r="H152" s="6"/>
      <c r="I152" s="6"/>
      <c r="J152" s="6"/>
      <c r="K152" s="6"/>
      <c r="L152" s="6"/>
      <c r="M152" s="6"/>
      <c r="N152" s="6"/>
      <c r="O152" s="6"/>
      <c r="P152" s="6"/>
      <c r="R152" s="3"/>
    </row>
    <row r="153" spans="1:19">
      <c r="A153" s="6"/>
      <c r="B153" s="6"/>
      <c r="C153" s="6"/>
      <c r="D153" s="6"/>
      <c r="E153" s="6"/>
      <c r="F153" s="6"/>
      <c r="G153" s="7"/>
      <c r="H153" s="6"/>
      <c r="I153" s="6"/>
      <c r="J153" s="6"/>
      <c r="K153" s="6"/>
      <c r="L153" s="6"/>
      <c r="M153" s="6"/>
      <c r="N153" s="6"/>
      <c r="O153" s="6"/>
      <c r="P153" s="6"/>
      <c r="R153" s="3"/>
    </row>
    <row r="154" spans="1:19">
      <c r="A154" s="6"/>
      <c r="B154" s="6"/>
      <c r="C154" s="6"/>
      <c r="D154" s="6"/>
      <c r="E154" s="6"/>
      <c r="F154" s="6"/>
      <c r="G154" s="7"/>
      <c r="H154" s="6"/>
      <c r="I154" s="6"/>
      <c r="J154" s="6"/>
      <c r="K154" s="6"/>
      <c r="L154" s="6"/>
      <c r="M154" s="6"/>
      <c r="N154" s="6"/>
      <c r="O154" s="6"/>
      <c r="P154" s="6"/>
      <c r="R154" s="3"/>
    </row>
    <row r="155" spans="1:19">
      <c r="A155" s="6"/>
      <c r="B155" s="6"/>
      <c r="C155" s="6"/>
      <c r="D155" s="6"/>
      <c r="E155" s="6"/>
      <c r="F155" s="6"/>
      <c r="G155" s="7"/>
      <c r="H155" s="6"/>
      <c r="I155" s="6"/>
      <c r="J155" s="6"/>
      <c r="K155" s="6"/>
      <c r="L155" s="6"/>
      <c r="M155" s="6"/>
      <c r="N155" s="6"/>
      <c r="O155" s="6"/>
      <c r="P155" s="6"/>
      <c r="R155" s="3"/>
    </row>
    <row r="156" spans="1:19">
      <c r="A156" s="6"/>
      <c r="B156" s="6"/>
      <c r="C156" s="6"/>
      <c r="D156" s="6"/>
      <c r="E156" s="6"/>
      <c r="F156" s="6"/>
      <c r="G156" s="7"/>
      <c r="H156" s="6"/>
      <c r="I156" s="6"/>
      <c r="J156" s="6"/>
      <c r="K156" s="6"/>
      <c r="L156" s="6"/>
      <c r="M156" s="6"/>
      <c r="N156" s="6"/>
      <c r="O156" s="6"/>
      <c r="P156" s="6"/>
      <c r="R156" s="3"/>
    </row>
    <row r="157" spans="1:19">
      <c r="A157" s="6"/>
      <c r="B157" s="6"/>
      <c r="C157" s="6"/>
      <c r="D157" s="6"/>
      <c r="E157" s="6"/>
      <c r="F157" s="6"/>
      <c r="G157" s="7"/>
      <c r="H157" s="6"/>
      <c r="I157" s="6"/>
      <c r="J157" s="6"/>
      <c r="K157" s="6"/>
      <c r="L157" s="6"/>
      <c r="M157" s="6"/>
      <c r="N157" s="6"/>
      <c r="O157" s="6"/>
      <c r="P157" s="6"/>
      <c r="R157" s="3"/>
    </row>
    <row r="158" spans="1:19">
      <c r="A158" s="6"/>
      <c r="B158" s="6"/>
      <c r="C158" s="6"/>
      <c r="D158" s="6"/>
      <c r="E158" s="6"/>
      <c r="F158" s="6"/>
      <c r="G158" s="7"/>
      <c r="H158" s="6"/>
      <c r="I158" s="6"/>
      <c r="J158" s="6"/>
      <c r="K158" s="6"/>
      <c r="L158" s="6"/>
      <c r="M158" s="6"/>
      <c r="N158" s="6"/>
      <c r="O158" s="6"/>
      <c r="P158" s="6"/>
      <c r="R158" s="3"/>
    </row>
    <row r="159" spans="1:19">
      <c r="A159" s="6"/>
      <c r="B159" s="6"/>
      <c r="C159" s="6"/>
      <c r="D159" s="6"/>
      <c r="E159" s="6"/>
      <c r="F159" s="6"/>
      <c r="G159" s="7"/>
      <c r="H159" s="6"/>
      <c r="I159" s="6"/>
      <c r="J159" s="6"/>
      <c r="K159" s="6"/>
      <c r="L159" s="6"/>
      <c r="M159" s="6"/>
      <c r="N159" s="6"/>
      <c r="O159" s="6"/>
      <c r="P159" s="6"/>
      <c r="R159" s="3"/>
    </row>
    <row r="160" spans="1:19">
      <c r="A160" s="6"/>
      <c r="B160" s="6"/>
      <c r="C160" s="6"/>
      <c r="D160" s="6"/>
      <c r="E160" s="6"/>
      <c r="F160" s="6"/>
      <c r="G160" s="7"/>
      <c r="H160" s="6"/>
      <c r="I160" s="6"/>
      <c r="J160" s="6"/>
      <c r="K160" s="6"/>
      <c r="L160" s="6"/>
      <c r="M160" s="6"/>
      <c r="N160" s="6"/>
      <c r="O160" s="6"/>
      <c r="P160" s="6"/>
      <c r="R160" s="3"/>
    </row>
    <row r="161" spans="1:18">
      <c r="A161" s="6"/>
      <c r="B161" s="6"/>
      <c r="C161" s="6"/>
      <c r="D161" s="6"/>
      <c r="E161" s="6"/>
      <c r="F161" s="6"/>
      <c r="G161" s="7"/>
      <c r="H161" s="6"/>
      <c r="I161" s="6"/>
      <c r="J161" s="6"/>
      <c r="K161" s="6"/>
      <c r="L161" s="6"/>
      <c r="M161" s="6"/>
      <c r="N161" s="6"/>
      <c r="O161" s="6"/>
      <c r="P161" s="6"/>
      <c r="R161" s="3"/>
    </row>
    <row r="162" spans="1:18">
      <c r="A162" s="6"/>
      <c r="B162" s="6"/>
      <c r="C162" s="6"/>
      <c r="D162" s="6"/>
      <c r="E162" s="6"/>
      <c r="F162" s="6"/>
      <c r="G162" s="7"/>
      <c r="H162" s="6"/>
      <c r="I162" s="6"/>
      <c r="J162" s="6"/>
      <c r="K162" s="6"/>
      <c r="L162" s="6"/>
      <c r="M162" s="6"/>
      <c r="N162" s="6"/>
      <c r="O162" s="6"/>
      <c r="P162" s="6"/>
      <c r="R162" s="3"/>
    </row>
    <row r="163" spans="1:18">
      <c r="A163" s="6"/>
      <c r="B163" s="6"/>
      <c r="C163" s="6"/>
      <c r="D163" s="6"/>
      <c r="E163" s="6"/>
      <c r="F163" s="6"/>
      <c r="G163" s="7"/>
      <c r="H163" s="6"/>
      <c r="I163" s="6"/>
      <c r="J163" s="6"/>
      <c r="K163" s="6"/>
      <c r="L163" s="6"/>
      <c r="M163" s="6"/>
      <c r="N163" s="6"/>
      <c r="O163" s="6"/>
      <c r="P163" s="6"/>
      <c r="R163" s="3"/>
    </row>
    <row r="164" spans="1:18">
      <c r="A164" s="6"/>
      <c r="B164" s="6"/>
      <c r="C164" s="6"/>
      <c r="D164" s="6"/>
      <c r="E164" s="6"/>
      <c r="F164" s="6"/>
      <c r="G164" s="7"/>
      <c r="H164" s="6"/>
      <c r="I164" s="6"/>
      <c r="J164" s="6"/>
      <c r="K164" s="6"/>
      <c r="L164" s="6"/>
      <c r="M164" s="6"/>
      <c r="N164" s="6"/>
      <c r="O164" s="6"/>
      <c r="P164" s="6"/>
      <c r="R164" s="3"/>
    </row>
    <row r="165" spans="1:18">
      <c r="A165" s="6"/>
      <c r="B165" s="6"/>
      <c r="C165" s="6"/>
      <c r="D165" s="6"/>
      <c r="E165" s="6"/>
      <c r="F165" s="6"/>
      <c r="G165" s="7"/>
      <c r="H165" s="6"/>
      <c r="I165" s="6"/>
      <c r="J165" s="6"/>
      <c r="K165" s="6"/>
      <c r="L165" s="6"/>
      <c r="M165" s="6"/>
      <c r="N165" s="6"/>
      <c r="O165" s="6"/>
      <c r="P165" s="6"/>
      <c r="R165" s="3"/>
    </row>
    <row r="166" spans="1:18">
      <c r="A166" s="6"/>
      <c r="B166" s="6"/>
      <c r="C166" s="6"/>
      <c r="D166" s="6"/>
      <c r="E166" s="6"/>
      <c r="F166" s="6"/>
      <c r="G166" s="7"/>
      <c r="H166" s="6"/>
      <c r="I166" s="6"/>
      <c r="J166" s="6"/>
      <c r="K166" s="6"/>
      <c r="L166" s="6"/>
      <c r="M166" s="6"/>
      <c r="N166" s="6"/>
      <c r="O166" s="6"/>
      <c r="P166" s="6"/>
      <c r="R166" s="3"/>
    </row>
    <row r="167" spans="1:18">
      <c r="A167" s="6"/>
      <c r="B167" s="6"/>
      <c r="C167" s="6"/>
      <c r="D167" s="6"/>
      <c r="E167" s="6"/>
      <c r="F167" s="6"/>
      <c r="G167" s="7"/>
      <c r="H167" s="6"/>
      <c r="I167" s="6"/>
      <c r="J167" s="6"/>
      <c r="K167" s="6"/>
      <c r="L167" s="6"/>
      <c r="M167" s="6"/>
      <c r="N167" s="6"/>
      <c r="O167" s="6"/>
      <c r="P167" s="6"/>
      <c r="R167" s="3"/>
    </row>
    <row r="168" spans="1:18">
      <c r="A168" s="6"/>
      <c r="B168" s="6"/>
      <c r="C168" s="6"/>
      <c r="D168" s="6"/>
      <c r="E168" s="6"/>
      <c r="F168" s="6"/>
      <c r="G168" s="7"/>
      <c r="H168" s="6"/>
      <c r="I168" s="6"/>
      <c r="J168" s="6"/>
      <c r="K168" s="6"/>
      <c r="L168" s="6"/>
      <c r="M168" s="6"/>
      <c r="N168" s="6"/>
      <c r="O168" s="6"/>
      <c r="P168" s="6"/>
      <c r="R168" s="3"/>
    </row>
    <row r="169" spans="1:18">
      <c r="A169" s="6"/>
      <c r="B169" s="6"/>
      <c r="C169" s="6"/>
      <c r="D169" s="6"/>
      <c r="E169" s="6"/>
      <c r="F169" s="6"/>
      <c r="G169" s="7"/>
      <c r="H169" s="6"/>
      <c r="I169" s="6"/>
      <c r="J169" s="6"/>
      <c r="K169" s="6"/>
      <c r="L169" s="6"/>
      <c r="M169" s="6"/>
      <c r="N169" s="6"/>
      <c r="O169" s="6"/>
      <c r="P169" s="6"/>
      <c r="R169" s="3"/>
    </row>
    <row r="170" spans="1:18">
      <c r="A170" s="6"/>
      <c r="B170" s="6"/>
      <c r="C170" s="6"/>
      <c r="D170" s="6"/>
      <c r="E170" s="6"/>
      <c r="F170" s="6"/>
      <c r="G170" s="7"/>
      <c r="H170" s="6"/>
      <c r="I170" s="6"/>
      <c r="J170" s="6"/>
      <c r="K170" s="6"/>
      <c r="L170" s="6"/>
      <c r="M170" s="6"/>
      <c r="N170" s="6"/>
      <c r="O170" s="6"/>
      <c r="P170" s="6"/>
      <c r="R170" s="3"/>
    </row>
    <row r="171" spans="1:18">
      <c r="A171" s="6"/>
      <c r="B171" s="6"/>
      <c r="C171" s="6"/>
      <c r="D171" s="6"/>
      <c r="E171" s="6"/>
      <c r="F171" s="6"/>
      <c r="G171" s="7"/>
      <c r="H171" s="6"/>
      <c r="I171" s="6"/>
      <c r="J171" s="6"/>
      <c r="K171" s="6"/>
      <c r="L171" s="6"/>
      <c r="M171" s="6"/>
      <c r="N171" s="6"/>
      <c r="O171" s="6"/>
      <c r="P171" s="6"/>
      <c r="R171" s="3"/>
    </row>
    <row r="172" spans="1:18">
      <c r="A172" s="6"/>
      <c r="B172" s="6"/>
      <c r="C172" s="6"/>
      <c r="D172" s="6"/>
      <c r="E172" s="6"/>
      <c r="F172" s="6"/>
      <c r="G172" s="7"/>
      <c r="H172" s="6"/>
      <c r="I172" s="6"/>
      <c r="J172" s="6"/>
      <c r="K172" s="6"/>
      <c r="L172" s="6"/>
      <c r="M172" s="6"/>
      <c r="N172" s="6"/>
      <c r="O172" s="6"/>
      <c r="P172" s="6"/>
      <c r="R172" s="3"/>
    </row>
    <row r="173" spans="1:18">
      <c r="A173" s="6"/>
      <c r="B173" s="6"/>
      <c r="C173" s="6"/>
      <c r="D173" s="6"/>
      <c r="E173" s="6"/>
      <c r="F173" s="6"/>
      <c r="G173" s="6"/>
      <c r="H173" s="6"/>
      <c r="I173" s="6"/>
      <c r="J173" s="6"/>
      <c r="K173" s="6"/>
      <c r="L173" s="6"/>
      <c r="M173" s="6"/>
      <c r="N173" s="6"/>
      <c r="O173" s="6"/>
      <c r="P173" s="6"/>
      <c r="R173" s="3"/>
    </row>
    <row r="174" spans="1:18">
      <c r="A174" s="6"/>
      <c r="B174" s="6"/>
      <c r="C174" s="6"/>
      <c r="D174" s="6"/>
      <c r="E174" s="6"/>
      <c r="F174" s="6"/>
      <c r="G174" s="7"/>
      <c r="H174" s="6"/>
      <c r="I174" s="6"/>
      <c r="J174" s="6"/>
      <c r="K174" s="6"/>
      <c r="L174" s="6"/>
      <c r="M174" s="6"/>
      <c r="N174" s="6"/>
      <c r="O174" s="6"/>
      <c r="P174" s="6"/>
      <c r="R174" s="3"/>
    </row>
    <row r="175" spans="1:18">
      <c r="A175" s="6"/>
      <c r="B175" s="6"/>
      <c r="C175" s="6"/>
      <c r="D175" s="6"/>
      <c r="E175" s="6"/>
      <c r="F175" s="6"/>
      <c r="G175" s="7"/>
      <c r="H175" s="6"/>
      <c r="I175" s="6"/>
      <c r="J175" s="6"/>
      <c r="K175" s="6"/>
      <c r="L175" s="6"/>
      <c r="M175" s="6"/>
      <c r="N175" s="6"/>
      <c r="O175" s="6"/>
      <c r="P175" s="6"/>
      <c r="R175" s="3"/>
    </row>
    <row r="176" spans="1:18">
      <c r="A176" s="6"/>
      <c r="B176" s="6"/>
      <c r="C176" s="6"/>
      <c r="D176" s="6"/>
      <c r="E176" s="6"/>
      <c r="F176" s="6"/>
      <c r="G176" s="7"/>
      <c r="H176" s="6"/>
      <c r="I176" s="6"/>
      <c r="J176" s="6"/>
      <c r="K176" s="6"/>
      <c r="L176" s="6"/>
      <c r="M176" s="6"/>
      <c r="N176" s="6"/>
      <c r="O176" s="6"/>
      <c r="P176" s="6"/>
      <c r="R176" s="3"/>
    </row>
    <row r="177" spans="1:18">
      <c r="A177" s="6"/>
      <c r="B177" s="6"/>
      <c r="C177" s="6"/>
      <c r="D177" s="6"/>
      <c r="E177" s="6"/>
      <c r="F177" s="6"/>
      <c r="G177" s="7"/>
      <c r="H177" s="6"/>
      <c r="I177" s="6"/>
      <c r="J177" s="6"/>
      <c r="K177" s="6"/>
      <c r="L177" s="6"/>
      <c r="M177" s="6"/>
      <c r="N177" s="6"/>
      <c r="O177" s="6"/>
      <c r="P177" s="6"/>
      <c r="R177" s="3"/>
    </row>
    <row r="178" spans="1:18">
      <c r="A178" s="6"/>
      <c r="B178" s="6"/>
      <c r="C178" s="6"/>
      <c r="D178" s="6"/>
      <c r="E178" s="6"/>
      <c r="F178" s="6"/>
      <c r="G178" s="7"/>
      <c r="H178" s="6"/>
      <c r="I178" s="6"/>
      <c r="J178" s="6"/>
      <c r="K178" s="6"/>
      <c r="L178" s="6"/>
      <c r="M178" s="6"/>
      <c r="N178" s="6"/>
      <c r="O178" s="6"/>
      <c r="P178" s="6"/>
      <c r="R178" s="3"/>
    </row>
    <row r="179" spans="1:18">
      <c r="A179" s="6"/>
      <c r="B179" s="6"/>
      <c r="C179" s="6"/>
      <c r="D179" s="6"/>
      <c r="E179" s="6"/>
      <c r="F179" s="6"/>
      <c r="G179" s="7"/>
      <c r="H179" s="6"/>
      <c r="I179" s="6"/>
      <c r="J179" s="6"/>
      <c r="K179" s="6"/>
      <c r="L179" s="6"/>
      <c r="M179" s="6"/>
      <c r="N179" s="6"/>
      <c r="O179" s="6"/>
      <c r="P179" s="6"/>
      <c r="R179" s="3"/>
    </row>
    <row r="180" spans="1:18">
      <c r="A180" s="6"/>
      <c r="B180" s="6"/>
      <c r="C180" s="6"/>
      <c r="D180" s="6"/>
      <c r="E180" s="6"/>
      <c r="F180" s="6"/>
      <c r="G180" s="7"/>
      <c r="H180" s="6"/>
      <c r="I180" s="6"/>
      <c r="J180" s="6"/>
      <c r="K180" s="6"/>
      <c r="L180" s="6"/>
      <c r="M180" s="6"/>
      <c r="N180" s="6"/>
      <c r="O180" s="6"/>
      <c r="P180" s="6"/>
      <c r="R180" s="3"/>
    </row>
    <row r="181" spans="1:18">
      <c r="A181" s="6"/>
      <c r="B181" s="6"/>
      <c r="C181" s="6"/>
      <c r="D181" s="6"/>
      <c r="E181" s="6"/>
      <c r="F181" s="6"/>
      <c r="G181" s="7"/>
      <c r="H181" s="6"/>
      <c r="I181" s="6"/>
      <c r="J181" s="6"/>
      <c r="K181" s="6"/>
      <c r="L181" s="6"/>
      <c r="M181" s="6"/>
      <c r="N181" s="6"/>
      <c r="O181" s="6"/>
      <c r="P181" s="6"/>
      <c r="R181" s="3"/>
    </row>
    <row r="182" spans="1:18">
      <c r="A182" s="6"/>
      <c r="B182" s="6"/>
      <c r="C182" s="6"/>
      <c r="D182" s="6"/>
      <c r="E182" s="6"/>
      <c r="F182" s="6"/>
      <c r="G182" s="7"/>
      <c r="H182" s="6"/>
      <c r="I182" s="6"/>
      <c r="J182" s="6"/>
      <c r="K182" s="6"/>
      <c r="L182" s="6"/>
      <c r="M182" s="6"/>
      <c r="N182" s="6"/>
      <c r="O182" s="6"/>
      <c r="P182" s="6"/>
      <c r="R182" s="3"/>
    </row>
    <row r="183" spans="1:18">
      <c r="A183" s="6"/>
      <c r="B183" s="6"/>
      <c r="C183" s="6"/>
      <c r="D183" s="6"/>
      <c r="E183" s="6"/>
      <c r="F183" s="6"/>
      <c r="G183" s="7"/>
      <c r="H183" s="6"/>
      <c r="I183" s="6"/>
      <c r="J183" s="6"/>
      <c r="K183" s="6"/>
      <c r="L183" s="6"/>
      <c r="M183" s="6"/>
      <c r="N183" s="6"/>
      <c r="O183" s="6"/>
      <c r="P183" s="6"/>
      <c r="R183" s="3"/>
    </row>
    <row r="184" spans="1:18">
      <c r="A184" s="6"/>
      <c r="B184" s="6"/>
      <c r="C184" s="6"/>
      <c r="D184" s="6"/>
      <c r="E184" s="6"/>
      <c r="F184" s="6"/>
      <c r="G184" s="7"/>
      <c r="H184" s="6"/>
      <c r="I184" s="6"/>
      <c r="J184" s="6"/>
      <c r="K184" s="6"/>
      <c r="L184" s="6"/>
      <c r="M184" s="6"/>
      <c r="N184" s="6"/>
      <c r="O184" s="6"/>
      <c r="P184" s="6"/>
      <c r="R184" s="3"/>
    </row>
    <row r="185" spans="1:18">
      <c r="A185" s="6"/>
      <c r="B185" s="6"/>
      <c r="C185" s="6"/>
      <c r="D185" s="6"/>
      <c r="E185" s="6"/>
      <c r="F185" s="6"/>
      <c r="G185" s="7"/>
      <c r="H185" s="6"/>
      <c r="I185" s="6"/>
      <c r="J185" s="6"/>
      <c r="K185" s="6"/>
      <c r="L185" s="6"/>
      <c r="M185" s="6"/>
      <c r="N185" s="6"/>
      <c r="O185" s="6"/>
      <c r="P185" s="6"/>
      <c r="R185" s="3"/>
    </row>
    <row r="186" spans="1:18">
      <c r="A186" s="6"/>
      <c r="B186" s="6"/>
      <c r="C186" s="6"/>
      <c r="D186" s="6"/>
      <c r="E186" s="6"/>
      <c r="F186" s="6"/>
      <c r="G186" s="7"/>
      <c r="H186" s="6"/>
      <c r="I186" s="6"/>
      <c r="J186" s="6"/>
      <c r="K186" s="6"/>
      <c r="L186" s="6"/>
      <c r="M186" s="6"/>
      <c r="N186" s="6"/>
      <c r="O186" s="6"/>
      <c r="P186" s="6"/>
      <c r="R186" s="3"/>
    </row>
    <row r="187" spans="1:18">
      <c r="A187" s="6"/>
      <c r="B187" s="6"/>
      <c r="C187" s="6"/>
      <c r="D187" s="6"/>
      <c r="E187" s="6"/>
      <c r="F187" s="6"/>
      <c r="G187" s="7"/>
      <c r="H187" s="6"/>
      <c r="I187" s="6"/>
      <c r="J187" s="6"/>
      <c r="K187" s="6"/>
      <c r="L187" s="6"/>
      <c r="M187" s="6"/>
      <c r="N187" s="6"/>
      <c r="O187" s="6"/>
      <c r="P187" s="6"/>
      <c r="R187" s="3"/>
    </row>
    <row r="188" spans="1:18">
      <c r="A188" s="6"/>
      <c r="B188" s="6"/>
      <c r="C188" s="6"/>
      <c r="D188" s="6"/>
      <c r="E188" s="6"/>
      <c r="F188" s="6"/>
      <c r="G188" s="7"/>
      <c r="H188" s="7"/>
      <c r="I188" s="7"/>
      <c r="J188" s="6"/>
      <c r="K188" s="6"/>
      <c r="L188" s="6"/>
      <c r="M188" s="6"/>
      <c r="N188" s="6"/>
      <c r="O188" s="6"/>
      <c r="P188" s="6"/>
      <c r="R188" s="3"/>
    </row>
    <row r="189" spans="1:18">
      <c r="A189" s="6"/>
      <c r="B189" s="6"/>
      <c r="C189" s="6"/>
      <c r="D189" s="6"/>
      <c r="E189" s="6"/>
      <c r="F189" s="6"/>
      <c r="G189" s="6"/>
      <c r="H189" s="6"/>
      <c r="I189" s="6"/>
      <c r="J189" s="6"/>
      <c r="K189" s="6"/>
      <c r="L189" s="6"/>
      <c r="M189" s="6"/>
      <c r="N189" s="6"/>
      <c r="O189" s="6"/>
      <c r="P189" s="6"/>
      <c r="R189" s="3"/>
    </row>
    <row r="190" spans="1:18">
      <c r="A190" s="6"/>
      <c r="B190" s="6"/>
      <c r="C190" s="6"/>
      <c r="D190" s="6"/>
      <c r="E190" s="6"/>
      <c r="F190" s="6"/>
      <c r="G190" s="6"/>
      <c r="H190" s="6"/>
      <c r="I190" s="6"/>
      <c r="J190" s="6"/>
      <c r="K190" s="6"/>
      <c r="L190" s="6"/>
      <c r="M190" s="6"/>
      <c r="N190" s="6"/>
      <c r="O190" s="6"/>
      <c r="P190" s="6"/>
      <c r="R190" s="3"/>
    </row>
    <row r="191" spans="1:18">
      <c r="A191" s="6"/>
      <c r="B191" s="6"/>
      <c r="C191" s="6"/>
      <c r="D191" s="6"/>
      <c r="E191" s="6"/>
      <c r="F191" s="6"/>
      <c r="G191" s="6"/>
      <c r="H191" s="6"/>
      <c r="I191" s="6"/>
      <c r="J191" s="6"/>
      <c r="K191" s="6"/>
      <c r="L191" s="6"/>
      <c r="M191" s="6"/>
      <c r="N191" s="6"/>
      <c r="O191" s="6"/>
      <c r="P191" s="6"/>
      <c r="R191" s="3"/>
    </row>
    <row r="192" spans="1:18">
      <c r="A192" s="6"/>
      <c r="B192" s="6"/>
      <c r="C192" s="6"/>
      <c r="D192" s="6"/>
      <c r="E192" s="6"/>
      <c r="F192" s="6"/>
      <c r="G192" s="7"/>
      <c r="H192" s="6"/>
      <c r="I192" s="6"/>
      <c r="J192" s="6"/>
      <c r="K192" s="6"/>
      <c r="L192" s="6"/>
      <c r="M192" s="6"/>
      <c r="N192" s="6"/>
      <c r="O192" s="6"/>
      <c r="P192" s="6"/>
      <c r="R192" s="3"/>
    </row>
    <row r="193" spans="1:18">
      <c r="A193" s="6"/>
      <c r="B193" s="6"/>
      <c r="C193" s="6"/>
      <c r="D193" s="6"/>
      <c r="E193" s="6"/>
      <c r="F193" s="6"/>
      <c r="G193" s="7"/>
      <c r="H193" s="6"/>
      <c r="I193" s="6"/>
      <c r="J193" s="6"/>
      <c r="K193" s="6"/>
      <c r="L193" s="6"/>
      <c r="M193" s="6"/>
      <c r="N193" s="6"/>
      <c r="O193" s="6"/>
      <c r="P193" s="6"/>
      <c r="R193" s="3"/>
    </row>
    <row r="194" spans="1:18">
      <c r="A194" s="6"/>
      <c r="B194" s="6"/>
      <c r="C194" s="6"/>
      <c r="D194" s="6"/>
      <c r="E194" s="6"/>
      <c r="F194" s="6"/>
      <c r="G194" s="7"/>
      <c r="H194" s="6"/>
      <c r="I194" s="6"/>
      <c r="J194" s="6"/>
      <c r="K194" s="6"/>
      <c r="L194" s="6"/>
      <c r="M194" s="6"/>
      <c r="N194" s="6"/>
      <c r="O194" s="6"/>
      <c r="P194" s="6"/>
      <c r="R194" s="3"/>
    </row>
    <row r="195" spans="1:18">
      <c r="A195" s="6"/>
      <c r="B195" s="6"/>
      <c r="C195" s="6"/>
      <c r="D195" s="6"/>
      <c r="E195" s="6"/>
      <c r="F195" s="6"/>
      <c r="G195" s="7"/>
      <c r="H195" s="6"/>
      <c r="I195" s="6"/>
      <c r="J195" s="6"/>
      <c r="K195" s="6"/>
      <c r="L195" s="6"/>
      <c r="M195" s="6"/>
      <c r="N195" s="6"/>
      <c r="O195" s="6"/>
      <c r="P195" s="6"/>
      <c r="R195" s="3"/>
    </row>
    <row r="196" spans="1:18">
      <c r="A196" s="6"/>
      <c r="B196" s="6"/>
      <c r="C196" s="6"/>
      <c r="D196" s="6"/>
      <c r="E196" s="6"/>
      <c r="F196" s="6"/>
      <c r="G196" s="7"/>
      <c r="H196" s="6"/>
      <c r="I196" s="6"/>
      <c r="J196" s="6"/>
      <c r="K196" s="6"/>
      <c r="L196" s="6"/>
      <c r="M196" s="6"/>
      <c r="N196" s="6"/>
      <c r="O196" s="6"/>
      <c r="P196" s="6"/>
      <c r="R196" s="3"/>
    </row>
    <row r="197" spans="1:18">
      <c r="A197" s="6"/>
      <c r="B197" s="6"/>
      <c r="C197" s="6"/>
      <c r="D197" s="6"/>
      <c r="E197" s="6"/>
      <c r="F197" s="6"/>
      <c r="G197" s="7"/>
      <c r="H197" s="7"/>
      <c r="I197" s="6"/>
      <c r="J197" s="6"/>
      <c r="K197" s="6"/>
      <c r="L197" s="6"/>
      <c r="M197" s="6"/>
      <c r="N197" s="6"/>
      <c r="O197" s="6"/>
      <c r="P197" s="6"/>
      <c r="R197" s="3"/>
    </row>
    <row r="198" spans="1:18">
      <c r="A198" s="6"/>
      <c r="B198" s="6"/>
      <c r="C198" s="6"/>
      <c r="D198" s="6"/>
      <c r="E198" s="6"/>
      <c r="F198" s="6"/>
      <c r="G198" s="7"/>
      <c r="H198" s="6"/>
      <c r="I198" s="6"/>
      <c r="J198" s="6"/>
      <c r="K198" s="6"/>
      <c r="L198" s="6"/>
      <c r="M198" s="6"/>
      <c r="N198" s="6"/>
      <c r="O198" s="6"/>
      <c r="P198" s="6"/>
      <c r="R198" s="3"/>
    </row>
    <row r="199" spans="1:18">
      <c r="A199" s="6"/>
      <c r="B199" s="6"/>
      <c r="C199" s="6"/>
      <c r="D199" s="6"/>
      <c r="E199" s="6"/>
      <c r="F199" s="6"/>
      <c r="G199" s="6"/>
      <c r="H199" s="6"/>
      <c r="I199" s="6"/>
      <c r="J199" s="6"/>
      <c r="K199" s="6"/>
      <c r="L199" s="6"/>
      <c r="M199" s="6"/>
      <c r="N199" s="6"/>
      <c r="O199" s="6"/>
      <c r="P199" s="6"/>
      <c r="R199" s="3"/>
    </row>
    <row r="200" spans="1:18">
      <c r="A200" s="6"/>
      <c r="B200" s="6"/>
      <c r="C200" s="6"/>
      <c r="D200" s="6"/>
      <c r="E200" s="6"/>
      <c r="F200" s="6"/>
      <c r="G200" s="6"/>
      <c r="H200" s="6"/>
      <c r="I200" s="6"/>
      <c r="J200" s="6"/>
      <c r="K200" s="6"/>
      <c r="L200" s="6"/>
      <c r="M200" s="6"/>
      <c r="N200" s="6"/>
      <c r="O200" s="6"/>
      <c r="P200" s="6"/>
      <c r="R200" s="3"/>
    </row>
    <row r="201" spans="1:18">
      <c r="A201" s="6"/>
      <c r="B201" s="6"/>
      <c r="C201" s="6"/>
      <c r="D201" s="6"/>
      <c r="E201" s="6"/>
      <c r="F201" s="6"/>
      <c r="G201" s="7"/>
      <c r="H201" s="6"/>
      <c r="I201" s="6"/>
      <c r="J201" s="6"/>
      <c r="K201" s="6"/>
      <c r="L201" s="6"/>
      <c r="M201" s="6"/>
      <c r="N201" s="6"/>
      <c r="O201" s="6"/>
      <c r="P201" s="6"/>
      <c r="R201" s="3"/>
    </row>
    <row r="202" spans="1:18">
      <c r="A202" s="6"/>
      <c r="B202" s="6"/>
      <c r="C202" s="6"/>
      <c r="D202" s="6"/>
      <c r="E202" s="6"/>
      <c r="F202" s="6"/>
      <c r="G202" s="7"/>
      <c r="H202" s="6"/>
      <c r="I202" s="6"/>
      <c r="J202" s="6"/>
      <c r="K202" s="6"/>
      <c r="L202" s="6"/>
      <c r="M202" s="6"/>
      <c r="N202" s="6"/>
      <c r="O202" s="6"/>
      <c r="P202" s="6"/>
      <c r="R202" s="3"/>
    </row>
    <row r="203" spans="1:18">
      <c r="A203" s="6"/>
      <c r="B203" s="6"/>
      <c r="C203" s="6"/>
      <c r="D203" s="6"/>
      <c r="E203" s="6"/>
      <c r="F203" s="6"/>
      <c r="G203" s="7"/>
      <c r="H203" s="6"/>
      <c r="I203" s="6"/>
      <c r="J203" s="6"/>
      <c r="K203" s="6"/>
      <c r="L203" s="6"/>
      <c r="M203" s="6"/>
      <c r="N203" s="6"/>
      <c r="O203" s="6"/>
      <c r="P203" s="6"/>
      <c r="R203" s="3"/>
    </row>
    <row r="204" spans="1:18">
      <c r="A204" s="6"/>
      <c r="B204" s="6"/>
      <c r="C204" s="6"/>
      <c r="D204" s="6"/>
      <c r="E204" s="6"/>
      <c r="F204" s="6"/>
      <c r="G204" s="7"/>
      <c r="H204" s="6"/>
      <c r="I204" s="6"/>
      <c r="J204" s="6"/>
      <c r="K204" s="6"/>
      <c r="L204" s="6"/>
      <c r="M204" s="6"/>
      <c r="N204" s="6"/>
      <c r="O204" s="6"/>
      <c r="P204" s="6"/>
      <c r="R204" s="3"/>
    </row>
    <row r="205" spans="1:18">
      <c r="A205" s="6"/>
      <c r="B205" s="6"/>
      <c r="C205" s="6"/>
      <c r="D205" s="6"/>
      <c r="E205" s="6"/>
      <c r="F205" s="6"/>
      <c r="G205" s="7"/>
      <c r="H205" s="6"/>
      <c r="I205" s="6"/>
      <c r="J205" s="6"/>
      <c r="K205" s="6"/>
      <c r="L205" s="6"/>
      <c r="M205" s="6"/>
      <c r="N205" s="6"/>
      <c r="O205" s="6"/>
      <c r="P205" s="6"/>
      <c r="R205" s="3"/>
    </row>
    <row r="206" spans="1:18">
      <c r="A206" s="6"/>
      <c r="B206" s="6"/>
      <c r="C206" s="6"/>
      <c r="D206" s="6"/>
      <c r="E206" s="6"/>
      <c r="F206" s="6"/>
      <c r="G206" s="6"/>
      <c r="H206" s="6"/>
      <c r="I206" s="6"/>
      <c r="J206" s="6"/>
      <c r="K206" s="6"/>
      <c r="L206" s="6"/>
      <c r="M206" s="6"/>
      <c r="N206" s="6"/>
      <c r="O206" s="6"/>
      <c r="P206" s="6"/>
      <c r="R206" s="3"/>
    </row>
    <row r="207" spans="1:18">
      <c r="A207" s="6"/>
      <c r="B207" s="6"/>
      <c r="C207" s="6"/>
      <c r="D207" s="6"/>
      <c r="E207" s="6"/>
      <c r="F207" s="6"/>
      <c r="G207" s="6"/>
      <c r="H207" s="6"/>
      <c r="I207" s="6"/>
      <c r="J207" s="6"/>
      <c r="K207" s="6"/>
      <c r="L207" s="6"/>
      <c r="M207" s="6"/>
      <c r="N207" s="6"/>
      <c r="O207" s="6"/>
      <c r="P207" s="6"/>
      <c r="R207" s="3"/>
    </row>
    <row r="208" spans="1:18">
      <c r="A208" s="6"/>
      <c r="B208" s="6"/>
      <c r="C208" s="6"/>
      <c r="D208" s="6"/>
      <c r="E208" s="6"/>
      <c r="F208" s="6"/>
      <c r="G208" s="6"/>
      <c r="H208" s="6"/>
      <c r="I208" s="6"/>
      <c r="J208" s="6"/>
      <c r="K208" s="6"/>
      <c r="L208" s="6"/>
      <c r="M208" s="6"/>
      <c r="N208" s="6"/>
      <c r="O208" s="6"/>
      <c r="P208" s="6"/>
      <c r="R208" s="3"/>
    </row>
    <row r="209" spans="1:18">
      <c r="A209" s="6"/>
      <c r="B209" s="6"/>
      <c r="C209" s="6"/>
      <c r="D209" s="6"/>
      <c r="E209" s="6"/>
      <c r="F209" s="6"/>
      <c r="G209" s="6"/>
      <c r="H209" s="6"/>
      <c r="I209" s="6"/>
      <c r="J209" s="6"/>
      <c r="K209" s="6"/>
      <c r="L209" s="6"/>
      <c r="M209" s="6"/>
      <c r="N209" s="6"/>
      <c r="O209" s="6"/>
      <c r="P209" s="6"/>
      <c r="R209" s="3"/>
    </row>
    <row r="210" spans="1:18">
      <c r="A210" s="6"/>
      <c r="B210" s="6"/>
      <c r="C210" s="6"/>
      <c r="D210" s="6"/>
      <c r="E210" s="6"/>
      <c r="F210" s="6"/>
      <c r="G210" s="6"/>
      <c r="H210" s="6"/>
      <c r="I210" s="6"/>
      <c r="J210" s="6"/>
      <c r="K210" s="6"/>
      <c r="L210" s="6"/>
      <c r="M210" s="6"/>
      <c r="N210" s="6"/>
      <c r="O210" s="6"/>
      <c r="P210" s="6"/>
      <c r="R210" s="3"/>
    </row>
    <row r="211" spans="1:18">
      <c r="A211" s="6"/>
      <c r="B211" s="6"/>
      <c r="C211" s="6"/>
      <c r="D211" s="6"/>
      <c r="E211" s="6"/>
      <c r="F211" s="6"/>
      <c r="G211" s="6"/>
      <c r="H211" s="6"/>
      <c r="I211" s="6"/>
      <c r="J211" s="6"/>
      <c r="K211" s="6"/>
      <c r="L211" s="6"/>
      <c r="M211" s="6"/>
      <c r="N211" s="6"/>
      <c r="O211" s="6"/>
      <c r="P211" s="6"/>
      <c r="R211" s="3"/>
    </row>
    <row r="212" spans="1:18">
      <c r="A212" s="6"/>
      <c r="B212" s="6"/>
      <c r="C212" s="6"/>
      <c r="D212" s="6"/>
      <c r="E212" s="6"/>
      <c r="F212" s="6"/>
      <c r="G212" s="6"/>
      <c r="H212" s="6"/>
      <c r="I212" s="6"/>
      <c r="J212" s="6"/>
      <c r="K212" s="6"/>
      <c r="L212" s="6"/>
      <c r="M212" s="6"/>
      <c r="N212" s="6"/>
      <c r="O212" s="6"/>
      <c r="P212" s="6"/>
      <c r="R212" s="3"/>
    </row>
    <row r="213" spans="1:18">
      <c r="A213" s="6"/>
      <c r="B213" s="6"/>
      <c r="C213" s="6"/>
      <c r="D213" s="6"/>
      <c r="E213" s="6"/>
      <c r="F213" s="6"/>
      <c r="G213" s="6"/>
      <c r="H213" s="6"/>
      <c r="I213" s="6"/>
      <c r="J213" s="6"/>
      <c r="K213" s="6"/>
      <c r="L213" s="6"/>
      <c r="M213" s="6"/>
      <c r="N213" s="6"/>
      <c r="O213" s="6"/>
      <c r="P213" s="6"/>
      <c r="R213" s="3"/>
    </row>
    <row r="214" spans="1:18">
      <c r="A214" s="6"/>
      <c r="B214" s="6"/>
      <c r="C214" s="6"/>
      <c r="D214" s="6"/>
      <c r="E214" s="6"/>
      <c r="F214" s="6"/>
      <c r="G214" s="6"/>
      <c r="H214" s="6"/>
      <c r="I214" s="6"/>
      <c r="J214" s="6"/>
      <c r="K214" s="6"/>
      <c r="L214" s="6"/>
      <c r="M214" s="6"/>
      <c r="N214" s="6"/>
      <c r="O214" s="6"/>
      <c r="P214" s="6"/>
      <c r="R214" s="3"/>
    </row>
    <row r="215" spans="1:18">
      <c r="A215" s="6"/>
      <c r="B215" s="6"/>
      <c r="C215" s="6"/>
      <c r="D215" s="6"/>
      <c r="E215" s="6"/>
      <c r="F215" s="6"/>
      <c r="G215" s="6"/>
      <c r="H215" s="6"/>
      <c r="I215" s="6"/>
      <c r="J215" s="6"/>
      <c r="K215" s="6"/>
      <c r="L215" s="6"/>
      <c r="M215" s="6"/>
      <c r="N215" s="6"/>
      <c r="O215" s="6"/>
      <c r="P215" s="6"/>
      <c r="R215" s="3"/>
    </row>
    <row r="216" spans="1:18">
      <c r="A216" s="6"/>
      <c r="B216" s="6"/>
      <c r="C216" s="6"/>
      <c r="D216" s="6"/>
      <c r="E216" s="6"/>
      <c r="F216" s="6"/>
      <c r="G216" s="6"/>
      <c r="H216" s="6"/>
      <c r="I216" s="6"/>
      <c r="J216" s="6"/>
      <c r="K216" s="6"/>
      <c r="L216" s="6"/>
      <c r="M216" s="6"/>
      <c r="N216" s="6"/>
      <c r="O216" s="6"/>
      <c r="P216" s="6"/>
      <c r="R216" s="3"/>
    </row>
    <row r="217" spans="1:18">
      <c r="A217" s="6"/>
      <c r="B217" s="6"/>
      <c r="C217" s="6"/>
      <c r="D217" s="6"/>
      <c r="E217" s="6"/>
      <c r="F217" s="6"/>
      <c r="G217" s="6"/>
      <c r="H217" s="6"/>
      <c r="I217" s="6"/>
      <c r="J217" s="6"/>
      <c r="K217" s="6"/>
      <c r="L217" s="6"/>
      <c r="M217" s="6"/>
      <c r="N217" s="6"/>
      <c r="O217" s="6"/>
      <c r="P217" s="6"/>
      <c r="R217" s="3"/>
    </row>
    <row r="218" spans="1:18">
      <c r="A218" s="6"/>
      <c r="B218" s="6"/>
      <c r="C218" s="6"/>
      <c r="D218" s="6"/>
      <c r="E218" s="6"/>
      <c r="F218" s="6"/>
      <c r="G218" s="6"/>
      <c r="H218" s="6"/>
      <c r="I218" s="6"/>
      <c r="J218" s="6"/>
      <c r="K218" s="6"/>
      <c r="L218" s="6"/>
      <c r="M218" s="6"/>
      <c r="N218" s="6"/>
      <c r="O218" s="6"/>
      <c r="P218" s="6"/>
      <c r="R218" s="3"/>
    </row>
    <row r="219" spans="1:18">
      <c r="A219" s="6"/>
      <c r="B219" s="6"/>
      <c r="C219" s="6"/>
      <c r="D219" s="6"/>
      <c r="E219" s="6"/>
      <c r="F219" s="6"/>
      <c r="G219" s="6"/>
      <c r="H219" s="6"/>
      <c r="I219" s="6"/>
      <c r="J219" s="6"/>
      <c r="K219" s="6"/>
      <c r="L219" s="6"/>
      <c r="M219" s="6"/>
      <c r="N219" s="6"/>
      <c r="O219" s="6"/>
      <c r="P219" s="6"/>
      <c r="R219" s="3"/>
    </row>
    <row r="220" spans="1:18">
      <c r="A220" s="6"/>
      <c r="B220" s="6"/>
      <c r="C220" s="6"/>
      <c r="D220" s="6"/>
      <c r="E220" s="6"/>
      <c r="F220" s="6"/>
      <c r="G220" s="6"/>
      <c r="H220" s="6"/>
      <c r="I220" s="6"/>
      <c r="J220" s="6"/>
      <c r="K220" s="6"/>
      <c r="L220" s="6"/>
      <c r="M220" s="6"/>
      <c r="N220" s="6"/>
      <c r="O220" s="6"/>
      <c r="P220" s="6"/>
      <c r="R220" s="3"/>
    </row>
    <row r="221" spans="1:18">
      <c r="A221" s="6"/>
      <c r="B221" s="6"/>
      <c r="C221" s="6"/>
      <c r="D221" s="6"/>
      <c r="E221" s="6"/>
      <c r="F221" s="6"/>
      <c r="G221" s="6"/>
      <c r="H221" s="6"/>
      <c r="I221" s="6"/>
      <c r="J221" s="6"/>
      <c r="K221" s="6"/>
      <c r="L221" s="6"/>
      <c r="M221" s="6"/>
      <c r="N221" s="6"/>
      <c r="O221" s="6"/>
      <c r="P221" s="6"/>
      <c r="R221" s="3"/>
    </row>
    <row r="222" spans="1:18">
      <c r="A222" s="6"/>
      <c r="B222" s="6"/>
      <c r="C222" s="6"/>
      <c r="D222" s="6"/>
      <c r="E222" s="6"/>
      <c r="F222" s="6"/>
      <c r="G222" s="6"/>
      <c r="H222" s="6"/>
      <c r="I222" s="6"/>
      <c r="J222" s="6"/>
      <c r="K222" s="6"/>
      <c r="L222" s="6"/>
      <c r="M222" s="6"/>
      <c r="N222" s="6"/>
      <c r="O222" s="6"/>
      <c r="P222" s="6"/>
      <c r="R222" s="3"/>
    </row>
    <row r="223" spans="1:18">
      <c r="A223" s="6"/>
      <c r="B223" s="6"/>
      <c r="C223" s="6"/>
      <c r="D223" s="6"/>
      <c r="E223" s="6"/>
      <c r="F223" s="6"/>
      <c r="G223" s="6"/>
      <c r="H223" s="6"/>
      <c r="I223" s="6"/>
      <c r="J223" s="6"/>
      <c r="K223" s="6"/>
      <c r="L223" s="6"/>
      <c r="M223" s="6"/>
      <c r="N223" s="6"/>
      <c r="O223" s="6"/>
      <c r="P223" s="6"/>
      <c r="R223" s="3"/>
    </row>
    <row r="224" spans="1:18">
      <c r="A224" s="6"/>
      <c r="B224" s="6"/>
      <c r="C224" s="6"/>
      <c r="D224" s="6"/>
      <c r="E224" s="6"/>
      <c r="F224" s="6"/>
      <c r="G224" s="6"/>
      <c r="H224" s="6"/>
      <c r="I224" s="6"/>
      <c r="J224" s="6"/>
      <c r="K224" s="6"/>
      <c r="L224" s="6"/>
      <c r="M224" s="6"/>
      <c r="N224" s="6"/>
      <c r="O224" s="6"/>
      <c r="P224" s="6"/>
      <c r="R224" s="3"/>
    </row>
    <row r="225" spans="1:18">
      <c r="A225" s="6"/>
      <c r="B225" s="6"/>
      <c r="C225" s="6"/>
      <c r="D225" s="6"/>
      <c r="E225" s="6"/>
      <c r="F225" s="6"/>
      <c r="G225" s="6"/>
      <c r="H225" s="6"/>
      <c r="I225" s="6"/>
      <c r="J225" s="6"/>
      <c r="K225" s="6"/>
      <c r="L225" s="6"/>
      <c r="M225" s="6"/>
      <c r="N225" s="6"/>
      <c r="O225" s="6"/>
      <c r="P225" s="6"/>
      <c r="R225" s="3"/>
    </row>
    <row r="226" spans="1:18">
      <c r="A226" s="6"/>
      <c r="B226" s="6"/>
      <c r="C226" s="6"/>
      <c r="D226" s="6"/>
      <c r="E226" s="6"/>
      <c r="F226" s="6"/>
      <c r="G226" s="6"/>
      <c r="H226" s="6"/>
      <c r="I226" s="6"/>
      <c r="J226" s="6"/>
      <c r="K226" s="6"/>
      <c r="L226" s="6"/>
      <c r="M226" s="6"/>
      <c r="N226" s="6"/>
      <c r="O226" s="6"/>
      <c r="P226" s="6"/>
      <c r="R226" s="3"/>
    </row>
    <row r="227" spans="1:18">
      <c r="A227" s="6"/>
      <c r="B227" s="6"/>
      <c r="C227" s="6"/>
      <c r="D227" s="6"/>
      <c r="E227" s="6"/>
      <c r="F227" s="6"/>
      <c r="G227" s="6"/>
      <c r="H227" s="6"/>
      <c r="I227" s="6"/>
      <c r="J227" s="6"/>
      <c r="K227" s="6"/>
      <c r="L227" s="6"/>
      <c r="M227" s="6"/>
      <c r="N227" s="6"/>
      <c r="O227" s="6"/>
      <c r="P227" s="6"/>
      <c r="R227" s="3"/>
    </row>
    <row r="228" spans="1:18">
      <c r="A228" s="6"/>
      <c r="B228" s="6"/>
      <c r="C228" s="6"/>
      <c r="D228" s="6"/>
      <c r="E228" s="6"/>
      <c r="F228" s="6"/>
      <c r="G228" s="6"/>
      <c r="H228" s="6"/>
      <c r="I228" s="6"/>
      <c r="J228" s="6"/>
      <c r="K228" s="6"/>
      <c r="L228" s="6"/>
      <c r="M228" s="6"/>
      <c r="N228" s="6"/>
      <c r="O228" s="6"/>
      <c r="P228" s="6"/>
      <c r="R228" s="3"/>
    </row>
    <row r="229" spans="1:18">
      <c r="A229" s="6"/>
      <c r="B229" s="6"/>
      <c r="C229" s="6"/>
      <c r="D229" s="6"/>
      <c r="E229" s="6"/>
      <c r="F229" s="6"/>
      <c r="G229" s="6"/>
      <c r="H229" s="6"/>
      <c r="I229" s="6"/>
      <c r="J229" s="6"/>
      <c r="K229" s="6"/>
      <c r="L229" s="6"/>
      <c r="M229" s="6"/>
      <c r="N229" s="6"/>
      <c r="O229" s="6"/>
      <c r="P229" s="6"/>
      <c r="R229" s="3"/>
    </row>
    <row r="230" spans="1:18">
      <c r="A230" s="6"/>
      <c r="B230" s="6"/>
      <c r="C230" s="6"/>
      <c r="D230" s="6"/>
      <c r="E230" s="6"/>
      <c r="F230" s="6"/>
      <c r="G230" s="6"/>
      <c r="H230" s="6"/>
      <c r="I230" s="6"/>
      <c r="J230" s="6"/>
      <c r="K230" s="6"/>
      <c r="L230" s="6"/>
      <c r="M230" s="6"/>
      <c r="N230" s="6"/>
      <c r="O230" s="6"/>
      <c r="P230" s="6"/>
      <c r="R230" s="3"/>
    </row>
    <row r="231" spans="1:18">
      <c r="A231" s="6"/>
      <c r="B231" s="6"/>
      <c r="C231" s="6"/>
      <c r="D231" s="6"/>
      <c r="E231" s="6"/>
      <c r="F231" s="6"/>
      <c r="G231" s="6"/>
      <c r="H231" s="6"/>
      <c r="I231" s="6"/>
      <c r="J231" s="6"/>
      <c r="K231" s="6"/>
      <c r="L231" s="6"/>
      <c r="M231" s="6"/>
      <c r="N231" s="6"/>
      <c r="O231" s="6"/>
      <c r="P231" s="6"/>
      <c r="R231" s="3"/>
    </row>
    <row r="232" spans="1:18">
      <c r="A232" s="6"/>
      <c r="B232" s="6"/>
      <c r="C232" s="6"/>
      <c r="D232" s="6"/>
      <c r="E232" s="6"/>
      <c r="F232" s="6"/>
      <c r="G232" s="6"/>
      <c r="H232" s="6"/>
      <c r="I232" s="6"/>
      <c r="J232" s="6"/>
      <c r="K232" s="6"/>
      <c r="L232" s="6"/>
      <c r="M232" s="6"/>
      <c r="N232" s="6"/>
      <c r="O232" s="6"/>
      <c r="P232" s="6"/>
      <c r="R232" s="3"/>
    </row>
    <row r="233" spans="1:18">
      <c r="A233" s="6"/>
      <c r="B233" s="6"/>
      <c r="C233" s="6"/>
      <c r="D233" s="6"/>
      <c r="E233" s="6"/>
      <c r="F233" s="6"/>
      <c r="G233" s="6"/>
      <c r="H233" s="6"/>
      <c r="I233" s="6"/>
      <c r="J233" s="6"/>
      <c r="K233" s="6"/>
      <c r="L233" s="6"/>
      <c r="M233" s="6"/>
      <c r="N233" s="6"/>
      <c r="O233" s="6"/>
      <c r="P233" s="6"/>
      <c r="R233" s="3"/>
    </row>
    <row r="234" spans="1:18">
      <c r="A234" s="6"/>
      <c r="B234" s="6"/>
      <c r="C234" s="6"/>
      <c r="D234" s="6"/>
      <c r="E234" s="6"/>
      <c r="F234" s="6"/>
      <c r="G234" s="6"/>
      <c r="H234" s="6"/>
      <c r="I234" s="6"/>
      <c r="J234" s="6"/>
      <c r="K234" s="6"/>
      <c r="L234" s="6"/>
      <c r="M234" s="6"/>
      <c r="N234" s="6"/>
      <c r="O234" s="6"/>
      <c r="P234" s="6"/>
      <c r="R234" s="3"/>
    </row>
    <row r="235" spans="1:18">
      <c r="A235" s="6"/>
      <c r="B235" s="6"/>
      <c r="C235" s="6"/>
      <c r="D235" s="6"/>
      <c r="E235" s="6"/>
      <c r="F235" s="6"/>
      <c r="G235" s="6"/>
      <c r="H235" s="6"/>
      <c r="I235" s="6"/>
      <c r="J235" s="6"/>
      <c r="K235" s="6"/>
      <c r="L235" s="6"/>
      <c r="M235" s="6"/>
      <c r="N235" s="6"/>
      <c r="O235" s="6"/>
      <c r="P235" s="6"/>
      <c r="R235" s="3"/>
    </row>
    <row r="236" spans="1:18">
      <c r="A236" s="6"/>
      <c r="B236" s="6"/>
      <c r="C236" s="6"/>
      <c r="D236" s="6"/>
      <c r="E236" s="6"/>
      <c r="F236" s="6"/>
      <c r="G236" s="6"/>
      <c r="H236" s="6"/>
      <c r="I236" s="6"/>
      <c r="J236" s="6"/>
      <c r="K236" s="6"/>
      <c r="L236" s="6"/>
      <c r="M236" s="6"/>
      <c r="N236" s="6"/>
      <c r="O236" s="6"/>
      <c r="P236" s="6"/>
      <c r="R236" s="3"/>
    </row>
    <row r="237" spans="1:18">
      <c r="A237" s="6"/>
      <c r="B237" s="6"/>
      <c r="C237" s="6"/>
      <c r="D237" s="6"/>
      <c r="E237" s="6"/>
      <c r="F237" s="6"/>
      <c r="G237" s="6"/>
      <c r="H237" s="6"/>
      <c r="I237" s="6"/>
      <c r="J237" s="6"/>
      <c r="K237" s="6"/>
      <c r="L237" s="6"/>
      <c r="M237" s="6"/>
      <c r="N237" s="6"/>
      <c r="O237" s="6"/>
      <c r="P237" s="6"/>
      <c r="R237" s="3"/>
    </row>
    <row r="238" spans="1:18">
      <c r="A238" s="6"/>
      <c r="B238" s="6"/>
      <c r="C238" s="6"/>
      <c r="D238" s="6"/>
      <c r="E238" s="6"/>
      <c r="F238" s="6"/>
      <c r="G238" s="6"/>
      <c r="H238" s="6"/>
      <c r="I238" s="6"/>
      <c r="J238" s="6"/>
      <c r="K238" s="6"/>
      <c r="L238" s="6"/>
      <c r="M238" s="6"/>
      <c r="N238" s="6"/>
      <c r="O238" s="6"/>
      <c r="P238" s="6"/>
      <c r="R238" s="3"/>
    </row>
    <row r="239" spans="1:18">
      <c r="A239" s="6"/>
      <c r="B239" s="6"/>
      <c r="C239" s="6"/>
      <c r="D239" s="6"/>
      <c r="E239" s="6"/>
      <c r="F239" s="6"/>
      <c r="G239" s="6"/>
      <c r="H239" s="6"/>
      <c r="I239" s="6"/>
      <c r="J239" s="6"/>
      <c r="K239" s="6"/>
      <c r="L239" s="6"/>
      <c r="M239" s="6"/>
      <c r="N239" s="6"/>
      <c r="O239" s="6"/>
      <c r="P239" s="6"/>
      <c r="R239" s="3"/>
    </row>
    <row r="240" spans="1:18">
      <c r="A240" s="6"/>
      <c r="B240" s="6"/>
      <c r="C240" s="6"/>
      <c r="D240" s="6"/>
      <c r="E240" s="6"/>
      <c r="F240" s="6"/>
      <c r="G240" s="6"/>
      <c r="H240" s="6"/>
      <c r="I240" s="6"/>
      <c r="J240" s="6"/>
      <c r="K240" s="6"/>
      <c r="L240" s="6"/>
      <c r="M240" s="6"/>
      <c r="N240" s="6"/>
      <c r="O240" s="6"/>
      <c r="P240" s="6"/>
      <c r="R240" s="3"/>
    </row>
    <row r="241" spans="1:18">
      <c r="A241" s="6"/>
      <c r="B241" s="6"/>
      <c r="C241" s="6"/>
      <c r="D241" s="6"/>
      <c r="E241" s="6"/>
      <c r="F241" s="6"/>
      <c r="G241" s="6"/>
      <c r="H241" s="6"/>
      <c r="I241" s="6"/>
      <c r="J241" s="6"/>
      <c r="K241" s="6"/>
      <c r="L241" s="6"/>
      <c r="M241" s="6"/>
      <c r="N241" s="6"/>
      <c r="O241" s="6"/>
      <c r="P241" s="6"/>
      <c r="R241" s="3"/>
    </row>
    <row r="242" spans="1:18">
      <c r="A242" s="6"/>
      <c r="B242" s="6"/>
      <c r="C242" s="6"/>
      <c r="D242" s="6"/>
      <c r="E242" s="6"/>
      <c r="F242" s="6"/>
      <c r="G242" s="6"/>
      <c r="H242" s="6"/>
      <c r="I242" s="6"/>
      <c r="J242" s="6"/>
      <c r="K242" s="6"/>
      <c r="L242" s="6"/>
      <c r="M242" s="6"/>
      <c r="N242" s="6"/>
      <c r="O242" s="6"/>
      <c r="P242" s="6"/>
      <c r="R242" s="3"/>
    </row>
    <row r="243" spans="1:18">
      <c r="A243" s="6"/>
      <c r="B243" s="6"/>
      <c r="C243" s="6"/>
      <c r="D243" s="6"/>
      <c r="E243" s="6"/>
      <c r="F243" s="6"/>
      <c r="G243" s="6"/>
      <c r="H243" s="6"/>
      <c r="I243" s="6"/>
      <c r="J243" s="6"/>
      <c r="K243" s="6"/>
      <c r="L243" s="6"/>
      <c r="M243" s="6"/>
      <c r="N243" s="6"/>
      <c r="O243" s="6"/>
      <c r="P243" s="6"/>
      <c r="R243" s="3"/>
    </row>
    <row r="244" spans="1:18">
      <c r="A244" s="6"/>
      <c r="B244" s="6"/>
      <c r="C244" s="6"/>
      <c r="D244" s="6"/>
      <c r="E244" s="6"/>
      <c r="F244" s="6"/>
      <c r="G244" s="6"/>
      <c r="H244" s="6"/>
      <c r="I244" s="6"/>
      <c r="J244" s="6"/>
      <c r="K244" s="6"/>
      <c r="L244" s="6"/>
      <c r="M244" s="6"/>
      <c r="N244" s="6"/>
      <c r="O244" s="6"/>
      <c r="P244" s="6"/>
      <c r="R244" s="3"/>
    </row>
    <row r="245" spans="1:18">
      <c r="A245" s="6"/>
      <c r="B245" s="6"/>
      <c r="C245" s="6"/>
      <c r="D245" s="6"/>
      <c r="E245" s="6"/>
      <c r="F245" s="6"/>
      <c r="G245" s="6"/>
      <c r="H245" s="6"/>
      <c r="I245" s="6"/>
      <c r="J245" s="6"/>
      <c r="K245" s="6"/>
      <c r="L245" s="6"/>
      <c r="M245" s="6"/>
      <c r="N245" s="6"/>
      <c r="O245" s="6"/>
      <c r="P245" s="6"/>
      <c r="R245" s="3"/>
    </row>
    <row r="246" spans="1:18">
      <c r="A246" s="6"/>
      <c r="B246" s="6"/>
      <c r="C246" s="6"/>
      <c r="D246" s="6"/>
      <c r="E246" s="6"/>
      <c r="F246" s="6"/>
      <c r="G246" s="6"/>
      <c r="H246" s="6"/>
      <c r="I246" s="6"/>
      <c r="J246" s="6"/>
      <c r="K246" s="6"/>
      <c r="L246" s="6"/>
      <c r="M246" s="6"/>
      <c r="N246" s="6"/>
      <c r="O246" s="6"/>
      <c r="P246" s="6"/>
      <c r="R246" s="3"/>
    </row>
    <row r="247" spans="1:18">
      <c r="A247" s="6"/>
      <c r="B247" s="6"/>
      <c r="C247" s="6"/>
      <c r="D247" s="6"/>
      <c r="E247" s="6"/>
      <c r="F247" s="6"/>
      <c r="G247" s="6"/>
      <c r="H247" s="6"/>
      <c r="I247" s="6"/>
      <c r="J247" s="6"/>
      <c r="K247" s="6"/>
      <c r="L247" s="6"/>
      <c r="M247" s="6"/>
      <c r="N247" s="6"/>
      <c r="O247" s="6"/>
      <c r="P247" s="6"/>
      <c r="R247" s="3"/>
    </row>
    <row r="248" spans="1:18">
      <c r="A248" s="6"/>
      <c r="B248" s="6"/>
      <c r="C248" s="6"/>
      <c r="D248" s="7"/>
      <c r="E248" s="7"/>
      <c r="F248" s="7"/>
      <c r="G248" s="6"/>
      <c r="H248" s="6"/>
      <c r="I248" s="6"/>
      <c r="J248" s="6"/>
      <c r="K248" s="6"/>
      <c r="L248" s="6"/>
      <c r="M248" s="6"/>
      <c r="N248" s="6"/>
      <c r="O248" s="6"/>
      <c r="P248" s="6"/>
      <c r="R248" s="3"/>
    </row>
    <row r="249" spans="1:18">
      <c r="A249" s="6"/>
      <c r="B249" s="6"/>
      <c r="C249" s="6"/>
      <c r="D249" s="7"/>
      <c r="E249" s="7"/>
      <c r="F249" s="7"/>
      <c r="G249" s="6"/>
      <c r="H249" s="6"/>
      <c r="I249" s="6"/>
      <c r="J249" s="6"/>
      <c r="K249" s="6"/>
      <c r="L249" s="6"/>
      <c r="M249" s="6"/>
      <c r="N249" s="6"/>
      <c r="O249" s="6"/>
      <c r="P249" s="6"/>
      <c r="R249" s="3"/>
    </row>
    <row r="250" spans="1:18">
      <c r="A250" s="6"/>
      <c r="B250" s="6"/>
      <c r="C250" s="6"/>
      <c r="D250" s="7"/>
      <c r="E250" s="7"/>
      <c r="F250" s="7"/>
      <c r="G250" s="6"/>
      <c r="H250" s="6"/>
      <c r="I250" s="6"/>
      <c r="J250" s="6"/>
      <c r="K250" s="6"/>
      <c r="L250" s="6"/>
      <c r="M250" s="6"/>
      <c r="N250" s="6"/>
      <c r="O250" s="6"/>
      <c r="P250" s="6"/>
      <c r="R250" s="3"/>
    </row>
    <row r="251" spans="1:18">
      <c r="A251" s="6"/>
      <c r="B251" s="7"/>
      <c r="C251" s="6"/>
      <c r="D251" s="7"/>
      <c r="E251" s="7"/>
      <c r="F251" s="6"/>
      <c r="G251" s="6"/>
      <c r="H251" s="6"/>
      <c r="I251" s="6"/>
      <c r="J251" s="6"/>
      <c r="K251" s="6"/>
      <c r="L251" s="6"/>
      <c r="M251" s="6"/>
      <c r="N251" s="6"/>
      <c r="O251" s="6"/>
      <c r="P251" s="6"/>
      <c r="R251" s="3"/>
    </row>
    <row r="252" spans="1:18">
      <c r="A252" s="6"/>
      <c r="B252" s="7"/>
      <c r="C252" s="6"/>
      <c r="D252" s="7"/>
      <c r="E252" s="7"/>
      <c r="F252" s="6"/>
      <c r="G252" s="6"/>
      <c r="H252" s="6"/>
      <c r="I252" s="6"/>
      <c r="J252" s="6"/>
      <c r="K252" s="6"/>
      <c r="L252" s="6"/>
      <c r="M252" s="6"/>
      <c r="N252" s="6"/>
      <c r="O252" s="6"/>
      <c r="P252" s="6"/>
      <c r="R252" s="3"/>
    </row>
    <row r="253" spans="1:18">
      <c r="A253" s="7"/>
      <c r="B253" s="7"/>
      <c r="C253" s="6"/>
      <c r="D253" s="7"/>
      <c r="E253" s="7"/>
      <c r="F253" s="7"/>
      <c r="G253" s="6"/>
      <c r="H253" s="6"/>
      <c r="I253" s="6"/>
      <c r="J253" s="6"/>
      <c r="K253" s="6"/>
      <c r="L253" s="6"/>
      <c r="M253" s="6"/>
      <c r="N253" s="6"/>
      <c r="O253" s="6"/>
      <c r="P253" s="6"/>
      <c r="R253" s="3"/>
    </row>
    <row r="254" spans="1:18">
      <c r="A254" s="7"/>
      <c r="B254" s="7"/>
      <c r="C254" s="7"/>
      <c r="D254" s="7"/>
      <c r="E254" s="7"/>
      <c r="F254" s="7"/>
      <c r="G254" s="6"/>
      <c r="H254" s="6"/>
      <c r="I254" s="6"/>
      <c r="J254" s="6"/>
      <c r="K254" s="6"/>
      <c r="L254" s="6"/>
      <c r="M254" s="6"/>
      <c r="N254" s="6"/>
      <c r="O254" s="6"/>
      <c r="P254" s="6"/>
      <c r="R254" s="3"/>
    </row>
    <row r="255" spans="1:18">
      <c r="A255" s="7"/>
      <c r="B255" s="7"/>
      <c r="C255" s="7"/>
      <c r="D255" s="6"/>
      <c r="E255" s="6"/>
      <c r="F255" s="6"/>
      <c r="G255" s="6"/>
      <c r="H255" s="6"/>
      <c r="I255" s="6"/>
      <c r="J255" s="6"/>
      <c r="K255" s="6"/>
      <c r="L255" s="6"/>
      <c r="M255" s="6"/>
      <c r="N255" s="6"/>
      <c r="O255" s="6"/>
      <c r="P255" s="6"/>
      <c r="R255" s="3"/>
    </row>
    <row r="256" spans="1:18">
      <c r="A256" s="7"/>
      <c r="B256" s="7"/>
      <c r="C256" s="7"/>
      <c r="D256" s="6"/>
      <c r="E256" s="6"/>
      <c r="F256" s="6"/>
      <c r="G256" s="6"/>
      <c r="H256" s="6"/>
      <c r="I256" s="6"/>
      <c r="J256" s="6"/>
      <c r="K256" s="6"/>
      <c r="L256" s="6"/>
      <c r="M256" s="6"/>
      <c r="N256" s="6"/>
      <c r="O256" s="6"/>
      <c r="P256" s="6"/>
      <c r="R256" s="3"/>
    </row>
    <row r="257" spans="1:18">
      <c r="A257" s="7"/>
      <c r="B257" s="7"/>
      <c r="C257" s="7"/>
      <c r="D257" s="6"/>
      <c r="E257" s="6"/>
      <c r="F257" s="6"/>
      <c r="G257" s="6"/>
      <c r="H257" s="6"/>
      <c r="I257" s="6"/>
      <c r="J257" s="6"/>
      <c r="K257" s="6"/>
      <c r="L257" s="6"/>
      <c r="M257" s="6"/>
      <c r="N257" s="6"/>
      <c r="O257" s="6"/>
      <c r="P257" s="6"/>
      <c r="R257" s="3"/>
    </row>
    <row r="258" spans="1:18">
      <c r="A258" s="7"/>
      <c r="B258" s="7"/>
      <c r="C258" s="7"/>
      <c r="D258" s="6"/>
      <c r="E258" s="6"/>
      <c r="F258" s="6"/>
      <c r="G258" s="6"/>
      <c r="H258" s="6"/>
      <c r="I258" s="6"/>
      <c r="J258" s="6"/>
      <c r="K258" s="6"/>
      <c r="L258" s="6"/>
      <c r="M258" s="6"/>
      <c r="N258" s="6"/>
      <c r="O258" s="6"/>
      <c r="P258" s="6"/>
      <c r="R258" s="3"/>
    </row>
    <row r="259" spans="1:18">
      <c r="A259" s="7"/>
      <c r="B259" s="7"/>
      <c r="C259" s="7"/>
      <c r="D259" s="6"/>
      <c r="E259" s="7"/>
      <c r="F259" s="6"/>
      <c r="G259" s="6"/>
      <c r="H259" s="6"/>
      <c r="I259" s="6"/>
      <c r="J259" s="6"/>
      <c r="K259" s="6"/>
      <c r="L259" s="6"/>
      <c r="M259" s="6"/>
      <c r="N259" s="6"/>
      <c r="O259" s="6"/>
      <c r="P259" s="6"/>
      <c r="R259" s="3"/>
    </row>
    <row r="260" spans="1:18">
      <c r="A260" s="7"/>
      <c r="B260" s="7"/>
      <c r="C260" s="7"/>
      <c r="D260" s="6"/>
      <c r="E260" s="7"/>
      <c r="F260" s="6"/>
      <c r="G260" s="6"/>
      <c r="H260" s="6"/>
      <c r="I260" s="6"/>
      <c r="J260" s="6"/>
      <c r="K260" s="6"/>
      <c r="L260" s="6"/>
      <c r="M260" s="6"/>
      <c r="N260" s="6"/>
      <c r="O260" s="6"/>
      <c r="P260" s="6"/>
      <c r="R260" s="3"/>
    </row>
    <row r="261" spans="1:18">
      <c r="A261" s="7"/>
      <c r="B261" s="7"/>
      <c r="C261" s="7"/>
      <c r="D261" s="7"/>
      <c r="E261" s="7"/>
      <c r="F261" s="7"/>
      <c r="G261" s="6"/>
      <c r="H261" s="6"/>
      <c r="I261" s="6"/>
      <c r="J261" s="6"/>
      <c r="K261" s="6"/>
      <c r="L261" s="6"/>
      <c r="M261" s="6"/>
      <c r="N261" s="6"/>
      <c r="O261" s="6"/>
      <c r="P261" s="6"/>
      <c r="R261" s="3"/>
    </row>
    <row r="262" spans="1:18">
      <c r="A262" s="7"/>
      <c r="B262" s="7"/>
      <c r="C262" s="7"/>
      <c r="D262" s="7"/>
      <c r="E262" s="7"/>
      <c r="F262" s="6"/>
      <c r="G262" s="6"/>
      <c r="H262" s="6"/>
      <c r="I262" s="6"/>
      <c r="J262" s="6"/>
      <c r="K262" s="6"/>
      <c r="L262" s="6"/>
      <c r="M262" s="6"/>
      <c r="N262" s="6"/>
      <c r="O262" s="6"/>
      <c r="P262" s="6"/>
      <c r="R262" s="3"/>
    </row>
    <row r="263" spans="1:18">
      <c r="A263" s="7"/>
      <c r="B263" s="7"/>
      <c r="C263" s="7"/>
      <c r="D263" s="7"/>
      <c r="E263" s="7"/>
      <c r="F263" s="6"/>
      <c r="G263" s="6"/>
      <c r="H263" s="6"/>
      <c r="I263" s="6"/>
      <c r="J263" s="6"/>
      <c r="K263" s="6"/>
      <c r="L263" s="6"/>
      <c r="M263" s="6"/>
      <c r="N263" s="6"/>
      <c r="O263" s="6"/>
      <c r="P263" s="6"/>
      <c r="R263" s="3"/>
    </row>
    <row r="264" spans="1:18">
      <c r="A264" s="7"/>
      <c r="B264" s="7"/>
      <c r="C264" s="7"/>
      <c r="D264" s="7"/>
      <c r="E264" s="7"/>
      <c r="F264" s="7"/>
      <c r="G264" s="6"/>
      <c r="H264" s="6"/>
      <c r="I264" s="6"/>
      <c r="J264" s="6"/>
      <c r="K264" s="6"/>
      <c r="L264" s="6"/>
      <c r="M264" s="6"/>
      <c r="N264" s="6"/>
      <c r="O264" s="6"/>
      <c r="P264" s="6"/>
      <c r="R264" s="3"/>
    </row>
    <row r="265" spans="1:18">
      <c r="A265" s="7"/>
      <c r="B265" s="7"/>
      <c r="C265" s="7"/>
      <c r="D265" s="7"/>
      <c r="E265" s="7"/>
      <c r="F265" s="7"/>
      <c r="G265" s="6"/>
      <c r="H265" s="6"/>
      <c r="I265" s="6"/>
      <c r="J265" s="6"/>
      <c r="K265" s="6"/>
      <c r="L265" s="6"/>
      <c r="M265" s="6"/>
      <c r="N265" s="6"/>
      <c r="O265" s="6"/>
      <c r="P265" s="6"/>
      <c r="R265" s="3"/>
    </row>
    <row r="266" spans="1:18">
      <c r="A266" s="7"/>
      <c r="B266" s="7"/>
      <c r="C266" s="7"/>
      <c r="D266" s="7"/>
      <c r="E266" s="7"/>
      <c r="F266" s="7"/>
      <c r="G266" s="6"/>
      <c r="H266" s="6"/>
      <c r="I266" s="6"/>
      <c r="J266" s="6"/>
      <c r="K266" s="6"/>
      <c r="L266" s="6"/>
      <c r="M266" s="6"/>
      <c r="N266" s="6"/>
      <c r="O266" s="6"/>
      <c r="P266" s="6"/>
      <c r="R266" s="3"/>
    </row>
    <row r="267" spans="1:18">
      <c r="A267" s="7"/>
      <c r="B267" s="7"/>
      <c r="C267" s="7"/>
      <c r="D267" s="7"/>
      <c r="E267" s="7"/>
      <c r="F267" s="7"/>
      <c r="G267" s="6"/>
      <c r="H267" s="6"/>
      <c r="I267" s="6"/>
      <c r="J267" s="6"/>
      <c r="K267" s="6"/>
      <c r="L267" s="6"/>
      <c r="M267" s="6"/>
      <c r="N267" s="6"/>
      <c r="O267" s="6"/>
      <c r="P267" s="6"/>
      <c r="R267" s="3"/>
    </row>
    <row r="268" spans="1:18">
      <c r="A268" s="7"/>
      <c r="B268" s="7"/>
      <c r="C268" s="7"/>
      <c r="D268" s="7"/>
      <c r="E268" s="7"/>
      <c r="F268" s="7"/>
      <c r="G268" s="6"/>
      <c r="H268" s="6"/>
      <c r="I268" s="6"/>
      <c r="J268" s="6"/>
      <c r="K268" s="6"/>
      <c r="L268" s="6"/>
      <c r="M268" s="6"/>
      <c r="N268" s="6"/>
      <c r="O268" s="6"/>
      <c r="P268" s="6"/>
      <c r="R268" s="3"/>
    </row>
    <row r="269" spans="1:18">
      <c r="A269" s="7"/>
      <c r="B269" s="7"/>
      <c r="C269" s="7"/>
      <c r="D269" s="7"/>
      <c r="E269" s="7"/>
      <c r="F269" s="7"/>
      <c r="G269" s="6"/>
      <c r="H269" s="6"/>
      <c r="I269" s="6"/>
      <c r="J269" s="6"/>
      <c r="K269" s="6"/>
      <c r="L269" s="6"/>
      <c r="M269" s="6"/>
      <c r="N269" s="6"/>
      <c r="O269" s="6"/>
      <c r="P269" s="6"/>
      <c r="R269" s="3"/>
    </row>
    <row r="270" spans="1:18">
      <c r="A270" s="7"/>
      <c r="B270" s="7"/>
      <c r="C270" s="7"/>
      <c r="D270" s="7"/>
      <c r="E270" s="7"/>
      <c r="F270" s="7"/>
      <c r="G270" s="6"/>
      <c r="H270" s="6"/>
      <c r="I270" s="6"/>
      <c r="J270" s="6"/>
      <c r="K270" s="6"/>
      <c r="L270" s="6"/>
      <c r="M270" s="6"/>
      <c r="N270" s="6"/>
      <c r="O270" s="6"/>
      <c r="P270" s="6"/>
      <c r="R270" s="3"/>
    </row>
    <row r="271" spans="1:18">
      <c r="A271" s="7"/>
      <c r="B271" s="7"/>
      <c r="C271" s="7"/>
      <c r="D271" s="7"/>
      <c r="E271" s="7"/>
      <c r="F271" s="7"/>
      <c r="G271" s="6"/>
      <c r="H271" s="6"/>
      <c r="I271" s="6"/>
      <c r="J271" s="6"/>
      <c r="K271" s="6"/>
      <c r="L271" s="6"/>
      <c r="M271" s="6"/>
      <c r="N271" s="6"/>
      <c r="O271" s="6"/>
      <c r="P271" s="6"/>
      <c r="R271" s="3"/>
    </row>
    <row r="272" spans="1:18">
      <c r="A272" s="7"/>
      <c r="B272" s="7"/>
      <c r="C272" s="7"/>
      <c r="D272" s="7"/>
      <c r="E272" s="7"/>
      <c r="F272" s="7"/>
      <c r="G272" s="6"/>
      <c r="H272" s="6"/>
      <c r="I272" s="6"/>
      <c r="J272" s="6"/>
      <c r="K272" s="6"/>
      <c r="L272" s="6"/>
      <c r="M272" s="6"/>
      <c r="N272" s="6"/>
      <c r="O272" s="6"/>
      <c r="P272" s="6"/>
      <c r="R272" s="3"/>
    </row>
    <row r="273" spans="1:18">
      <c r="A273" s="3"/>
      <c r="B273" s="3"/>
      <c r="C273" s="3"/>
      <c r="D273" s="3"/>
      <c r="E273" s="3"/>
      <c r="F273" s="3"/>
      <c r="G273" s="3"/>
      <c r="H273" s="3"/>
      <c r="I273" s="3"/>
      <c r="J273" s="3"/>
      <c r="K273" s="3"/>
      <c r="L273" s="3"/>
      <c r="M273" s="3"/>
      <c r="N273" s="3"/>
      <c r="O273" s="3"/>
      <c r="P273" s="3"/>
      <c r="R273" s="3"/>
    </row>
    <row r="274" spans="1:18">
      <c r="A274" s="3"/>
      <c r="B274" s="3"/>
      <c r="C274" s="3"/>
      <c r="D274" s="3"/>
      <c r="E274" s="3"/>
      <c r="F274" s="3"/>
      <c r="G274" s="3"/>
      <c r="H274" s="3"/>
      <c r="I274" s="3"/>
      <c r="J274" s="3"/>
      <c r="K274" s="3"/>
      <c r="L274" s="3"/>
      <c r="M274" s="3"/>
      <c r="N274" s="3"/>
      <c r="O274" s="3"/>
      <c r="P274" s="3"/>
      <c r="R274" s="3"/>
    </row>
    <row r="275" spans="1:18">
      <c r="A275" s="3"/>
      <c r="B275" s="3"/>
      <c r="C275" s="3"/>
      <c r="D275" s="3"/>
      <c r="E275" s="3"/>
      <c r="F275" s="3"/>
      <c r="G275" s="3"/>
      <c r="H275" s="3"/>
      <c r="I275" s="3"/>
      <c r="J275" s="3"/>
      <c r="K275" s="3"/>
      <c r="L275" s="3"/>
      <c r="M275" s="3"/>
      <c r="N275" s="3"/>
      <c r="O275" s="3"/>
      <c r="P275" s="3"/>
      <c r="R275" s="3"/>
    </row>
    <row r="276" spans="1:18">
      <c r="A276" s="3"/>
      <c r="B276" s="3"/>
      <c r="C276" s="3"/>
      <c r="D276" s="3"/>
      <c r="E276" s="3"/>
      <c r="F276" s="3"/>
      <c r="G276" s="3"/>
      <c r="H276" s="3"/>
      <c r="I276" s="3"/>
      <c r="J276" s="3"/>
      <c r="K276" s="3"/>
      <c r="L276" s="3"/>
      <c r="M276" s="3"/>
      <c r="N276" s="3"/>
      <c r="O276" s="3"/>
      <c r="P276" s="3"/>
      <c r="R276" s="3"/>
    </row>
    <row r="277" spans="1:18">
      <c r="A277" s="3"/>
      <c r="B277" s="3"/>
      <c r="C277" s="3"/>
      <c r="D277" s="3"/>
      <c r="E277" s="3"/>
      <c r="F277" s="3"/>
      <c r="G277" s="3"/>
      <c r="H277" s="3"/>
      <c r="I277" s="3"/>
      <c r="J277" s="3"/>
      <c r="K277" s="3"/>
      <c r="L277" s="3"/>
      <c r="M277" s="3"/>
      <c r="N277" s="3"/>
      <c r="O277" s="3"/>
      <c r="P277" s="3"/>
      <c r="R277" s="3"/>
    </row>
    <row r="278" spans="1:18">
      <c r="A278" s="3"/>
      <c r="B278" s="3"/>
      <c r="C278" s="3"/>
      <c r="D278" s="3"/>
      <c r="E278" s="3"/>
      <c r="F278" s="3"/>
      <c r="G278" s="3"/>
      <c r="H278" s="3"/>
      <c r="I278" s="3"/>
      <c r="J278" s="3"/>
      <c r="K278" s="3"/>
      <c r="L278" s="3"/>
      <c r="M278" s="3"/>
      <c r="N278" s="3"/>
      <c r="O278" s="3"/>
      <c r="P278" s="3"/>
      <c r="R278" s="3"/>
    </row>
    <row r="279" spans="1:18">
      <c r="A279" s="3"/>
      <c r="B279" s="3"/>
      <c r="C279" s="3"/>
      <c r="D279" s="3"/>
      <c r="E279" s="3"/>
      <c r="F279" s="3"/>
      <c r="G279" s="3"/>
      <c r="H279" s="3"/>
      <c r="I279" s="3"/>
      <c r="J279" s="3"/>
      <c r="K279" s="3"/>
      <c r="L279" s="3"/>
      <c r="M279" s="3"/>
      <c r="N279" s="3"/>
      <c r="O279" s="3"/>
      <c r="P279" s="3"/>
      <c r="R279" s="3"/>
    </row>
    <row r="280" spans="1:18">
      <c r="A280" s="3"/>
      <c r="B280" s="3"/>
      <c r="C280" s="3"/>
      <c r="D280" s="3"/>
      <c r="E280" s="3"/>
      <c r="F280" s="3"/>
      <c r="G280" s="3"/>
      <c r="H280" s="3"/>
      <c r="I280" s="3"/>
      <c r="J280" s="3"/>
      <c r="K280" s="3"/>
      <c r="L280" s="3"/>
      <c r="M280" s="3"/>
      <c r="N280" s="3"/>
      <c r="O280" s="3"/>
      <c r="P280" s="3"/>
      <c r="R280" s="3"/>
    </row>
    <row r="281" spans="1:18">
      <c r="A281" s="3"/>
      <c r="B281" s="3"/>
      <c r="C281" s="3"/>
      <c r="D281" s="3"/>
      <c r="E281" s="3"/>
      <c r="F281" s="3"/>
      <c r="G281" s="3"/>
      <c r="H281" s="3"/>
      <c r="I281" s="3"/>
      <c r="J281" s="3"/>
      <c r="K281" s="3"/>
      <c r="L281" s="3"/>
      <c r="M281" s="3"/>
      <c r="N281" s="3"/>
      <c r="O281" s="3"/>
      <c r="P281" s="3"/>
      <c r="R281" s="3"/>
    </row>
    <row r="282" spans="1:18">
      <c r="A282" s="3"/>
      <c r="B282" s="3"/>
      <c r="C282" s="3"/>
      <c r="D282" s="3"/>
      <c r="E282" s="3"/>
      <c r="F282" s="3"/>
      <c r="G282" s="3"/>
      <c r="H282" s="3"/>
      <c r="I282" s="3"/>
      <c r="J282" s="3"/>
      <c r="K282" s="3"/>
      <c r="L282" s="3"/>
      <c r="M282" s="3"/>
      <c r="N282" s="3"/>
      <c r="O282" s="3"/>
      <c r="P282" s="3"/>
      <c r="R282" s="3"/>
    </row>
    <row r="283" spans="1:18">
      <c r="A283" s="3"/>
      <c r="B283" s="3"/>
      <c r="C283" s="3"/>
      <c r="D283" s="3"/>
      <c r="E283" s="3"/>
      <c r="F283" s="3"/>
      <c r="G283" s="3"/>
      <c r="H283" s="3"/>
      <c r="I283" s="3"/>
      <c r="J283" s="3"/>
      <c r="K283" s="3"/>
      <c r="L283" s="3"/>
      <c r="M283" s="3"/>
      <c r="N283" s="3"/>
      <c r="O283" s="3"/>
      <c r="P283" s="3"/>
      <c r="R283" s="3"/>
    </row>
    <row r="284" spans="1:18">
      <c r="A284" s="3"/>
      <c r="B284" s="3"/>
      <c r="C284" s="3"/>
      <c r="D284" s="3"/>
      <c r="E284" s="3"/>
      <c r="F284" s="3"/>
      <c r="G284" s="3"/>
      <c r="H284" s="3"/>
      <c r="I284" s="3"/>
      <c r="J284" s="3"/>
      <c r="K284" s="3"/>
      <c r="L284" s="3"/>
      <c r="M284" s="3"/>
      <c r="N284" s="3"/>
      <c r="O284" s="3"/>
      <c r="P284" s="3"/>
      <c r="R284" s="3"/>
    </row>
    <row r="285" spans="1:18">
      <c r="A285" s="3"/>
      <c r="B285" s="3"/>
      <c r="C285" s="3"/>
      <c r="D285" s="3"/>
      <c r="E285" s="3"/>
      <c r="F285" s="3"/>
      <c r="G285" s="3"/>
      <c r="H285" s="3"/>
      <c r="I285" s="3"/>
      <c r="J285" s="3"/>
      <c r="K285" s="3"/>
      <c r="L285" s="3"/>
      <c r="M285" s="3"/>
      <c r="N285" s="3"/>
      <c r="O285" s="3"/>
      <c r="P285" s="3"/>
      <c r="R285" s="3"/>
    </row>
    <row r="286" spans="1:18">
      <c r="A286" s="3"/>
      <c r="B286" s="3"/>
      <c r="C286" s="3"/>
      <c r="D286" s="3"/>
      <c r="E286" s="3"/>
      <c r="F286" s="3"/>
      <c r="G286" s="3"/>
      <c r="H286" s="3"/>
      <c r="I286" s="3"/>
      <c r="J286" s="3"/>
      <c r="K286" s="3"/>
      <c r="L286" s="3"/>
      <c r="M286" s="3"/>
      <c r="N286" s="3"/>
      <c r="O286" s="3"/>
      <c r="P286" s="3"/>
      <c r="R286" s="3"/>
    </row>
    <row r="287" spans="1:18">
      <c r="A287" s="3"/>
      <c r="B287" s="3"/>
      <c r="C287" s="3"/>
      <c r="D287" s="3"/>
      <c r="E287" s="3"/>
      <c r="F287" s="3"/>
      <c r="G287" s="3"/>
      <c r="H287" s="3"/>
      <c r="I287" s="3"/>
      <c r="J287" s="3"/>
      <c r="K287" s="3"/>
      <c r="L287" s="3"/>
      <c r="M287" s="3"/>
      <c r="N287" s="3"/>
      <c r="O287" s="3"/>
      <c r="P287" s="3"/>
      <c r="R287" s="3"/>
    </row>
    <row r="288" spans="1:18">
      <c r="A288" s="3"/>
      <c r="B288" s="3"/>
      <c r="C288" s="3"/>
      <c r="D288" s="3"/>
      <c r="E288" s="3"/>
      <c r="F288" s="3"/>
      <c r="G288" s="3"/>
      <c r="H288" s="3"/>
      <c r="I288" s="3"/>
      <c r="J288" s="3"/>
      <c r="K288" s="3"/>
      <c r="L288" s="3"/>
      <c r="M288" s="3"/>
      <c r="N288" s="3"/>
      <c r="O288" s="3"/>
      <c r="P288" s="3"/>
      <c r="R288" s="3"/>
    </row>
    <row r="289" spans="1:18">
      <c r="A289" s="3"/>
      <c r="B289" s="3"/>
      <c r="C289" s="3"/>
      <c r="D289" s="3"/>
      <c r="E289" s="3"/>
      <c r="F289" s="3"/>
      <c r="G289" s="3"/>
      <c r="H289" s="3"/>
      <c r="I289" s="3"/>
      <c r="J289" s="3"/>
      <c r="K289" s="3"/>
      <c r="L289" s="3"/>
      <c r="M289" s="3"/>
      <c r="N289" s="3"/>
      <c r="O289" s="3"/>
      <c r="P289" s="3"/>
      <c r="R289" s="3"/>
    </row>
    <row r="290" spans="1:18">
      <c r="A290" s="3"/>
      <c r="B290" s="3"/>
      <c r="C290" s="3"/>
      <c r="D290" s="3"/>
      <c r="E290" s="3"/>
      <c r="F290" s="3"/>
      <c r="G290" s="3"/>
      <c r="H290" s="3"/>
      <c r="I290" s="3"/>
      <c r="J290" s="3"/>
      <c r="K290" s="3"/>
      <c r="L290" s="3"/>
      <c r="M290" s="3"/>
      <c r="N290" s="3"/>
      <c r="O290" s="3"/>
      <c r="P290" s="3"/>
      <c r="R290" s="3"/>
    </row>
    <row r="291" spans="1:18">
      <c r="A291" s="3"/>
      <c r="B291" s="3"/>
      <c r="C291" s="3"/>
      <c r="D291" s="3"/>
      <c r="E291" s="3"/>
      <c r="F291" s="3"/>
      <c r="G291" s="3"/>
      <c r="H291" s="3"/>
      <c r="I291" s="3"/>
      <c r="J291" s="3"/>
      <c r="K291" s="3"/>
      <c r="L291" s="3"/>
      <c r="M291" s="3"/>
      <c r="N291" s="3"/>
      <c r="O291" s="3"/>
      <c r="P291" s="3"/>
      <c r="R291" s="3"/>
    </row>
    <row r="292" spans="1:18">
      <c r="A292" s="3"/>
      <c r="B292" s="3"/>
      <c r="C292" s="3"/>
      <c r="D292" s="3"/>
      <c r="E292" s="3"/>
      <c r="F292" s="3"/>
      <c r="G292" s="3"/>
      <c r="H292" s="3"/>
      <c r="I292" s="3"/>
      <c r="J292" s="3"/>
      <c r="K292" s="3"/>
      <c r="L292" s="3"/>
      <c r="M292" s="3"/>
      <c r="N292" s="3"/>
      <c r="O292" s="3"/>
      <c r="P292" s="3"/>
      <c r="R292" s="3"/>
    </row>
    <row r="293" spans="1:18">
      <c r="A293" s="3"/>
      <c r="B293" s="3"/>
      <c r="C293" s="3"/>
      <c r="D293" s="3"/>
      <c r="E293" s="3"/>
      <c r="F293" s="3"/>
      <c r="G293" s="3"/>
      <c r="H293" s="3"/>
      <c r="I293" s="3"/>
      <c r="J293" s="3"/>
      <c r="K293" s="3"/>
      <c r="L293" s="3"/>
      <c r="M293" s="3"/>
      <c r="N293" s="3"/>
      <c r="O293" s="3"/>
      <c r="P293" s="3"/>
      <c r="R293" s="3"/>
    </row>
    <row r="294" spans="1:18">
      <c r="A294" s="3"/>
      <c r="B294" s="3"/>
      <c r="C294" s="3"/>
      <c r="D294" s="3"/>
      <c r="E294" s="3"/>
      <c r="F294" s="3"/>
      <c r="G294" s="3"/>
      <c r="H294" s="3"/>
      <c r="I294" s="3"/>
      <c r="J294" s="3"/>
      <c r="K294" s="3"/>
      <c r="L294" s="3"/>
      <c r="M294" s="3"/>
      <c r="N294" s="3"/>
      <c r="O294" s="3"/>
      <c r="P294" s="3"/>
      <c r="R294" s="3"/>
    </row>
    <row r="295" spans="1:18">
      <c r="A295" s="3"/>
      <c r="B295" s="3"/>
      <c r="C295" s="3"/>
      <c r="D295" s="3"/>
      <c r="E295" s="3"/>
      <c r="F295" s="3"/>
      <c r="G295" s="3"/>
      <c r="H295" s="3"/>
      <c r="I295" s="3"/>
      <c r="J295" s="3"/>
      <c r="K295" s="3"/>
      <c r="L295" s="3"/>
      <c r="M295" s="3"/>
      <c r="N295" s="3"/>
      <c r="O295" s="3"/>
      <c r="P295" s="3"/>
      <c r="R295" s="3"/>
    </row>
    <row r="296" spans="1:18">
      <c r="A296" s="3"/>
      <c r="B296" s="3"/>
      <c r="C296" s="3"/>
      <c r="D296" s="3"/>
      <c r="E296" s="3"/>
      <c r="F296" s="3"/>
      <c r="G296" s="3"/>
      <c r="H296" s="3"/>
      <c r="I296" s="3"/>
      <c r="J296" s="3"/>
      <c r="K296" s="3"/>
      <c r="L296" s="3"/>
      <c r="M296" s="3"/>
      <c r="N296" s="3"/>
      <c r="O296" s="3"/>
      <c r="P296" s="3"/>
      <c r="R296" s="3"/>
    </row>
    <row r="297" spans="1:18">
      <c r="A297" s="3"/>
      <c r="B297" s="3"/>
      <c r="C297" s="3"/>
      <c r="D297" s="3"/>
      <c r="E297" s="3"/>
      <c r="F297" s="3"/>
      <c r="G297" s="3"/>
      <c r="H297" s="3"/>
      <c r="I297" s="3"/>
      <c r="J297" s="3"/>
      <c r="K297" s="3"/>
      <c r="L297" s="3"/>
      <c r="M297" s="3"/>
      <c r="N297" s="3"/>
      <c r="O297" s="3"/>
      <c r="P297" s="3"/>
      <c r="R297" s="3"/>
    </row>
    <row r="298" spans="1:18">
      <c r="A298" s="3"/>
      <c r="B298" s="3"/>
      <c r="C298" s="3"/>
      <c r="D298" s="3"/>
      <c r="E298" s="3"/>
      <c r="F298" s="3"/>
      <c r="G298" s="3"/>
      <c r="H298" s="3"/>
      <c r="I298" s="3"/>
      <c r="J298" s="3"/>
      <c r="K298" s="3"/>
      <c r="L298" s="3"/>
      <c r="M298" s="3"/>
      <c r="N298" s="3"/>
      <c r="O298" s="3"/>
      <c r="P298" s="3"/>
      <c r="R298" s="3"/>
    </row>
    <row r="299" spans="1:18">
      <c r="A299" s="3"/>
      <c r="B299" s="3"/>
      <c r="C299" s="3"/>
      <c r="D299" s="3"/>
      <c r="E299" s="3"/>
      <c r="F299" s="3"/>
      <c r="G299" s="3"/>
      <c r="H299" s="3"/>
      <c r="I299" s="3"/>
      <c r="J299" s="3"/>
      <c r="K299" s="3"/>
      <c r="L299" s="3"/>
      <c r="M299" s="3"/>
      <c r="N299" s="3"/>
      <c r="O299" s="3"/>
      <c r="P299" s="3"/>
      <c r="R299" s="3"/>
    </row>
    <row r="300" spans="1:18">
      <c r="A300" s="3"/>
      <c r="B300" s="3"/>
      <c r="C300" s="3"/>
      <c r="D300" s="3"/>
      <c r="E300" s="3"/>
      <c r="F300" s="3"/>
      <c r="G300" s="3"/>
      <c r="H300" s="3"/>
      <c r="I300" s="3"/>
      <c r="J300" s="3"/>
      <c r="K300" s="3"/>
      <c r="L300" s="3"/>
      <c r="M300" s="3"/>
      <c r="N300" s="3"/>
      <c r="O300" s="3"/>
      <c r="P300" s="3"/>
      <c r="R300" s="3"/>
    </row>
    <row r="301" spans="1:18">
      <c r="A301" s="3"/>
      <c r="B301" s="3"/>
      <c r="C301" s="3"/>
      <c r="D301" s="3"/>
      <c r="E301" s="3"/>
      <c r="F301" s="3"/>
      <c r="G301" s="3"/>
      <c r="H301" s="3"/>
      <c r="I301" s="3"/>
      <c r="J301" s="3"/>
      <c r="K301" s="3"/>
      <c r="L301" s="3"/>
      <c r="M301" s="3"/>
      <c r="N301" s="3"/>
      <c r="O301" s="3"/>
      <c r="P301" s="3"/>
      <c r="R301" s="3"/>
    </row>
    <row r="302" spans="1:18">
      <c r="A302" s="3"/>
      <c r="B302" s="3"/>
      <c r="C302" s="3"/>
      <c r="D302" s="3"/>
      <c r="E302" s="3"/>
      <c r="F302" s="3"/>
      <c r="G302" s="3"/>
      <c r="H302" s="3"/>
      <c r="I302" s="3"/>
      <c r="J302" s="3"/>
      <c r="K302" s="3"/>
      <c r="L302" s="3"/>
      <c r="M302" s="3"/>
      <c r="N302" s="3"/>
      <c r="O302" s="3"/>
      <c r="P302" s="3"/>
      <c r="R302" s="3"/>
    </row>
    <row r="303" spans="1:18">
      <c r="A303" s="3"/>
      <c r="B303" s="3"/>
      <c r="C303" s="3"/>
      <c r="D303" s="3"/>
      <c r="E303" s="3"/>
      <c r="F303" s="3"/>
      <c r="G303" s="3"/>
      <c r="H303" s="3"/>
      <c r="I303" s="3"/>
      <c r="J303" s="3"/>
      <c r="K303" s="3"/>
      <c r="L303" s="3"/>
      <c r="M303" s="3"/>
      <c r="N303" s="3"/>
      <c r="O303" s="3"/>
      <c r="P303" s="3"/>
      <c r="R303" s="3"/>
    </row>
    <row r="304" spans="1:18">
      <c r="A304" s="3"/>
      <c r="B304" s="3"/>
      <c r="C304" s="3"/>
      <c r="D304" s="3"/>
      <c r="E304" s="3"/>
      <c r="F304" s="3"/>
      <c r="G304" s="3"/>
      <c r="H304" s="3"/>
      <c r="I304" s="3"/>
      <c r="J304" s="3"/>
      <c r="K304" s="3"/>
      <c r="L304" s="3"/>
      <c r="M304" s="3"/>
      <c r="N304" s="3"/>
      <c r="O304" s="3"/>
      <c r="P304" s="3"/>
      <c r="R304" s="3"/>
    </row>
    <row r="305" spans="1:18">
      <c r="A305" s="3"/>
      <c r="B305" s="3"/>
      <c r="C305" s="3"/>
      <c r="D305" s="3"/>
      <c r="E305" s="3"/>
      <c r="F305" s="3"/>
      <c r="G305" s="3"/>
      <c r="H305" s="3"/>
      <c r="I305" s="3"/>
      <c r="J305" s="3"/>
      <c r="K305" s="3"/>
      <c r="L305" s="3"/>
      <c r="M305" s="3"/>
      <c r="N305" s="3"/>
      <c r="O305" s="3"/>
      <c r="P305" s="3"/>
      <c r="R305" s="3"/>
    </row>
    <row r="306" spans="1:18">
      <c r="A306" s="3"/>
      <c r="B306" s="3"/>
      <c r="C306" s="3"/>
      <c r="D306" s="3"/>
      <c r="E306" s="3"/>
      <c r="F306" s="3"/>
      <c r="G306" s="3"/>
      <c r="H306" s="3"/>
      <c r="I306" s="3"/>
      <c r="J306" s="3"/>
      <c r="K306" s="3"/>
      <c r="L306" s="3"/>
      <c r="M306" s="3"/>
      <c r="N306" s="3"/>
      <c r="O306" s="3"/>
      <c r="P306" s="3"/>
      <c r="R306" s="3"/>
    </row>
    <row r="307" spans="1:18">
      <c r="A307" s="3"/>
      <c r="B307" s="3"/>
      <c r="C307" s="3"/>
      <c r="D307" s="3"/>
      <c r="E307" s="3"/>
      <c r="F307" s="3"/>
      <c r="G307" s="3"/>
      <c r="H307" s="3"/>
      <c r="I307" s="3"/>
      <c r="J307" s="3"/>
      <c r="K307" s="3"/>
      <c r="L307" s="3"/>
      <c r="M307" s="3"/>
      <c r="N307" s="3"/>
      <c r="O307" s="3"/>
      <c r="P307" s="3"/>
      <c r="R307" s="3"/>
    </row>
    <row r="308" spans="1:18">
      <c r="A308" s="3"/>
      <c r="B308" s="3"/>
      <c r="C308" s="3"/>
      <c r="D308" s="3"/>
      <c r="E308" s="3"/>
      <c r="F308" s="3"/>
      <c r="G308" s="3"/>
      <c r="H308" s="3"/>
      <c r="I308" s="3"/>
      <c r="J308" s="3"/>
      <c r="K308" s="3"/>
      <c r="L308" s="3"/>
      <c r="M308" s="3"/>
      <c r="N308" s="3"/>
      <c r="O308" s="3"/>
      <c r="P308" s="3"/>
      <c r="R308" s="3"/>
    </row>
    <row r="309" spans="1:18">
      <c r="A309" s="3"/>
      <c r="B309" s="3"/>
      <c r="C309" s="3"/>
      <c r="D309" s="3"/>
      <c r="E309" s="3"/>
      <c r="F309" s="3"/>
      <c r="G309" s="3"/>
      <c r="H309" s="3"/>
      <c r="I309" s="3"/>
      <c r="J309" s="3"/>
      <c r="K309" s="3"/>
      <c r="L309" s="3"/>
      <c r="M309" s="3"/>
      <c r="N309" s="3"/>
      <c r="O309" s="3"/>
      <c r="P309" s="3"/>
      <c r="R309" s="3"/>
    </row>
    <row r="310" spans="1:18">
      <c r="A310" s="3"/>
      <c r="B310" s="3"/>
      <c r="C310" s="3"/>
      <c r="D310" s="3"/>
      <c r="E310" s="3"/>
      <c r="F310" s="3"/>
      <c r="G310" s="3"/>
      <c r="H310" s="3"/>
      <c r="I310" s="3"/>
      <c r="J310" s="3"/>
      <c r="K310" s="3"/>
      <c r="L310" s="3"/>
      <c r="M310" s="3"/>
      <c r="N310" s="3"/>
      <c r="O310" s="3"/>
      <c r="P310" s="3"/>
      <c r="R310" s="3"/>
    </row>
    <row r="311" spans="1:18">
      <c r="A311" s="3"/>
      <c r="B311" s="3"/>
      <c r="C311" s="3"/>
      <c r="D311" s="3"/>
      <c r="E311" s="3"/>
      <c r="F311" s="3"/>
      <c r="G311" s="3"/>
      <c r="H311" s="3"/>
      <c r="I311" s="3"/>
      <c r="J311" s="3"/>
      <c r="K311" s="3"/>
      <c r="L311" s="3"/>
      <c r="M311" s="3"/>
      <c r="N311" s="3"/>
      <c r="O311" s="3"/>
      <c r="P311" s="3"/>
      <c r="R311" s="3"/>
    </row>
    <row r="312" spans="1:18">
      <c r="A312" s="3"/>
      <c r="B312" s="3"/>
      <c r="C312" s="3"/>
      <c r="D312" s="3"/>
      <c r="E312" s="3"/>
      <c r="F312" s="3"/>
      <c r="G312" s="3"/>
      <c r="H312" s="3"/>
      <c r="I312" s="3"/>
      <c r="J312" s="3"/>
      <c r="K312" s="3"/>
      <c r="L312" s="3"/>
      <c r="M312" s="3"/>
      <c r="N312" s="3"/>
      <c r="O312" s="3"/>
      <c r="P312" s="3"/>
      <c r="R312" s="3"/>
    </row>
    <row r="313" spans="1:18">
      <c r="A313" s="3"/>
      <c r="B313" s="3"/>
      <c r="C313" s="3"/>
      <c r="D313" s="3"/>
      <c r="E313" s="3"/>
      <c r="F313" s="3"/>
      <c r="G313" s="3"/>
      <c r="H313" s="3"/>
      <c r="I313" s="3"/>
      <c r="J313" s="3"/>
      <c r="K313" s="3"/>
      <c r="L313" s="3"/>
      <c r="M313" s="3"/>
      <c r="N313" s="3"/>
      <c r="O313" s="3"/>
      <c r="P313" s="3"/>
      <c r="R313" s="3"/>
    </row>
    <row r="314" spans="1:18">
      <c r="A314" s="3"/>
      <c r="B314" s="3"/>
      <c r="C314" s="3"/>
      <c r="D314" s="3"/>
      <c r="E314" s="3"/>
      <c r="F314" s="3"/>
      <c r="G314" s="3"/>
      <c r="H314" s="3"/>
      <c r="I314" s="3"/>
      <c r="J314" s="3"/>
      <c r="K314" s="3"/>
      <c r="L314" s="3"/>
      <c r="M314" s="3"/>
      <c r="N314" s="3"/>
      <c r="O314" s="3"/>
      <c r="P314" s="3"/>
      <c r="R314" s="3"/>
    </row>
    <row r="315" spans="1:18">
      <c r="A315" s="3"/>
      <c r="B315" s="3"/>
      <c r="C315" s="3"/>
      <c r="D315" s="3"/>
      <c r="E315" s="3"/>
      <c r="F315" s="3"/>
      <c r="G315" s="3"/>
      <c r="H315" s="3"/>
      <c r="I315" s="3"/>
      <c r="J315" s="3"/>
      <c r="K315" s="3"/>
      <c r="L315" s="3"/>
      <c r="M315" s="3"/>
      <c r="N315" s="3"/>
      <c r="O315" s="3"/>
      <c r="P315" s="3"/>
      <c r="R315" s="3"/>
    </row>
    <row r="316" spans="1:18">
      <c r="A316" s="3"/>
      <c r="B316" s="3"/>
      <c r="C316" s="3"/>
      <c r="D316" s="3"/>
      <c r="E316" s="3"/>
      <c r="F316" s="3"/>
      <c r="G316" s="3"/>
      <c r="H316" s="3"/>
      <c r="I316" s="3"/>
      <c r="J316" s="3"/>
      <c r="K316" s="3"/>
      <c r="L316" s="3"/>
      <c r="M316" s="3"/>
      <c r="N316" s="3"/>
      <c r="O316" s="3"/>
      <c r="P316" s="3"/>
      <c r="R316" s="3"/>
    </row>
    <row r="317" spans="1:18">
      <c r="A317" s="3"/>
      <c r="B317" s="3"/>
      <c r="C317" s="3"/>
      <c r="D317" s="3"/>
      <c r="E317" s="3"/>
      <c r="F317" s="3"/>
      <c r="G317" s="3"/>
      <c r="H317" s="3"/>
      <c r="I317" s="3"/>
      <c r="J317" s="3"/>
      <c r="K317" s="3"/>
      <c r="L317" s="3"/>
      <c r="M317" s="3"/>
      <c r="N317" s="3"/>
      <c r="O317" s="3"/>
      <c r="P317" s="3"/>
      <c r="R317" s="3"/>
    </row>
    <row r="318" spans="1:18">
      <c r="A318" s="3"/>
      <c r="B318" s="3"/>
      <c r="C318" s="3"/>
      <c r="D318" s="3"/>
      <c r="E318" s="3"/>
      <c r="F318" s="3"/>
      <c r="G318" s="3"/>
      <c r="H318" s="3"/>
      <c r="I318" s="3"/>
      <c r="J318" s="3"/>
      <c r="K318" s="3"/>
      <c r="L318" s="3"/>
      <c r="M318" s="3"/>
      <c r="N318" s="3"/>
      <c r="O318" s="3"/>
      <c r="P318" s="3"/>
      <c r="R318" s="3"/>
    </row>
    <row r="319" spans="1:18">
      <c r="A319" s="3"/>
      <c r="B319" s="3"/>
      <c r="C319" s="3"/>
      <c r="D319" s="3"/>
      <c r="E319" s="3"/>
      <c r="F319" s="3"/>
      <c r="G319" s="3"/>
      <c r="H319" s="3"/>
      <c r="I319" s="3"/>
      <c r="J319" s="3"/>
      <c r="K319" s="3"/>
      <c r="L319" s="3"/>
      <c r="M319" s="3"/>
      <c r="N319" s="3"/>
      <c r="O319" s="3"/>
      <c r="P319" s="3"/>
      <c r="R319" s="3"/>
    </row>
    <row r="320" spans="1:18">
      <c r="A320" s="3"/>
      <c r="B320" s="3"/>
      <c r="C320" s="3"/>
      <c r="D320" s="3"/>
      <c r="E320" s="3"/>
      <c r="F320" s="3"/>
      <c r="G320" s="3"/>
      <c r="H320" s="3"/>
      <c r="I320" s="3"/>
      <c r="J320" s="3"/>
      <c r="K320" s="3"/>
      <c r="L320" s="3"/>
      <c r="M320" s="3"/>
      <c r="N320" s="3"/>
      <c r="O320" s="3"/>
      <c r="P320" s="3"/>
      <c r="R320" s="3"/>
    </row>
    <row r="321" spans="1:18">
      <c r="A321" s="3"/>
      <c r="B321" s="3"/>
      <c r="C321" s="3"/>
      <c r="D321" s="3"/>
      <c r="E321" s="3"/>
      <c r="F321" s="3"/>
      <c r="G321" s="3"/>
      <c r="H321" s="3"/>
      <c r="I321" s="3"/>
      <c r="J321" s="3"/>
      <c r="K321" s="3"/>
      <c r="L321" s="3"/>
      <c r="M321" s="3"/>
      <c r="N321" s="3"/>
      <c r="O321" s="3"/>
      <c r="P321" s="3"/>
      <c r="R321" s="3"/>
    </row>
    <row r="322" spans="1:18">
      <c r="A322" s="3"/>
      <c r="B322" s="3"/>
      <c r="C322" s="3"/>
      <c r="D322" s="3"/>
      <c r="E322" s="3"/>
      <c r="F322" s="3"/>
      <c r="G322" s="3"/>
      <c r="H322" s="3"/>
      <c r="I322" s="3"/>
      <c r="J322" s="3"/>
      <c r="K322" s="3"/>
      <c r="L322" s="3"/>
      <c r="M322" s="3"/>
      <c r="N322" s="3"/>
      <c r="O322" s="3"/>
      <c r="P322" s="3"/>
      <c r="R322" s="3"/>
    </row>
    <row r="323" spans="1:18">
      <c r="A323" s="3"/>
      <c r="B323" s="3"/>
      <c r="C323" s="3"/>
      <c r="D323" s="3"/>
      <c r="E323" s="3"/>
      <c r="F323" s="3"/>
      <c r="G323" s="3"/>
      <c r="H323" s="3"/>
      <c r="I323" s="3"/>
      <c r="J323" s="3"/>
      <c r="K323" s="3"/>
      <c r="L323" s="3"/>
      <c r="M323" s="3"/>
      <c r="N323" s="3"/>
      <c r="O323" s="3"/>
      <c r="P323" s="3"/>
      <c r="R323" s="3"/>
    </row>
    <row r="324" spans="1:18">
      <c r="A324" s="3"/>
      <c r="B324" s="3"/>
      <c r="C324" s="3"/>
      <c r="D324" s="3"/>
      <c r="E324" s="3"/>
      <c r="F324" s="3"/>
      <c r="G324" s="3"/>
      <c r="H324" s="3"/>
      <c r="I324" s="3"/>
      <c r="J324" s="3"/>
      <c r="K324" s="3"/>
      <c r="L324" s="3"/>
      <c r="M324" s="3"/>
      <c r="N324" s="3"/>
      <c r="O324" s="3"/>
      <c r="P324" s="3"/>
      <c r="R324" s="3"/>
    </row>
    <row r="325" spans="1:18">
      <c r="A325" s="3"/>
      <c r="B325" s="3"/>
      <c r="C325" s="3"/>
      <c r="D325" s="3"/>
      <c r="E325" s="3"/>
      <c r="F325" s="3"/>
      <c r="G325" s="3"/>
      <c r="H325" s="3"/>
      <c r="I325" s="3"/>
      <c r="J325" s="3"/>
      <c r="K325" s="3"/>
      <c r="L325" s="3"/>
      <c r="M325" s="3"/>
      <c r="N325" s="3"/>
      <c r="O325" s="3"/>
      <c r="P325" s="3"/>
      <c r="R325" s="3"/>
    </row>
    <row r="326" spans="1:18">
      <c r="A326" s="3"/>
      <c r="B326" s="3"/>
      <c r="C326" s="3"/>
      <c r="D326" s="3"/>
      <c r="E326" s="3"/>
      <c r="F326" s="3"/>
      <c r="G326" s="3"/>
      <c r="H326" s="3"/>
      <c r="I326" s="3"/>
      <c r="J326" s="3"/>
      <c r="K326" s="3"/>
      <c r="L326" s="3"/>
      <c r="M326" s="3"/>
      <c r="N326" s="3"/>
      <c r="O326" s="3"/>
      <c r="P326" s="3"/>
      <c r="R326" s="3"/>
    </row>
    <row r="327" spans="1:18">
      <c r="A327" s="3"/>
      <c r="B327" s="3"/>
      <c r="C327" s="3"/>
      <c r="D327" s="3"/>
      <c r="E327" s="3"/>
      <c r="F327" s="3"/>
      <c r="G327" s="3"/>
      <c r="H327" s="3"/>
      <c r="I327" s="3"/>
      <c r="J327" s="3"/>
      <c r="K327" s="3"/>
      <c r="L327" s="3"/>
      <c r="M327" s="3"/>
      <c r="N327" s="3"/>
      <c r="O327" s="3"/>
      <c r="P327" s="3"/>
      <c r="R327" s="3"/>
    </row>
    <row r="328" spans="1:18">
      <c r="A328" s="3"/>
      <c r="B328" s="3"/>
      <c r="C328" s="3"/>
      <c r="D328" s="3"/>
      <c r="E328" s="3"/>
      <c r="F328" s="3"/>
      <c r="G328" s="3"/>
      <c r="H328" s="3"/>
      <c r="I328" s="3"/>
      <c r="J328" s="3"/>
      <c r="K328" s="3"/>
      <c r="L328" s="3"/>
      <c r="M328" s="3"/>
      <c r="N328" s="3"/>
      <c r="O328" s="3"/>
      <c r="P328" s="3"/>
      <c r="R328" s="3"/>
    </row>
    <row r="329" spans="1:18">
      <c r="A329" s="3"/>
      <c r="B329" s="3"/>
      <c r="C329" s="3"/>
      <c r="D329" s="3"/>
      <c r="E329" s="3"/>
      <c r="F329" s="3"/>
      <c r="G329" s="3"/>
      <c r="H329" s="3"/>
      <c r="I329" s="3"/>
      <c r="J329" s="3"/>
      <c r="K329" s="3"/>
      <c r="L329" s="3"/>
      <c r="M329" s="3"/>
      <c r="N329" s="3"/>
      <c r="O329" s="3"/>
      <c r="P329" s="3"/>
      <c r="R329" s="3"/>
    </row>
    <row r="330" spans="1:18">
      <c r="A330" s="3"/>
      <c r="B330" s="3"/>
      <c r="C330" s="3"/>
      <c r="D330" s="3"/>
      <c r="E330" s="3"/>
      <c r="F330" s="3"/>
      <c r="G330" s="3"/>
      <c r="H330" s="3"/>
      <c r="I330" s="3"/>
      <c r="J330" s="3"/>
      <c r="K330" s="3"/>
      <c r="L330" s="3"/>
      <c r="M330" s="3"/>
      <c r="N330" s="3"/>
      <c r="O330" s="3"/>
      <c r="P330" s="3"/>
      <c r="R330" s="3"/>
    </row>
    <row r="331" spans="1:18">
      <c r="A331" s="3"/>
      <c r="B331" s="3"/>
      <c r="C331" s="3"/>
      <c r="D331" s="3"/>
      <c r="E331" s="3"/>
      <c r="F331" s="3"/>
      <c r="G331" s="3"/>
      <c r="H331" s="3"/>
      <c r="I331" s="3"/>
      <c r="J331" s="3"/>
      <c r="K331" s="3"/>
      <c r="L331" s="3"/>
      <c r="M331" s="3"/>
      <c r="N331" s="3"/>
      <c r="O331" s="3"/>
      <c r="P331" s="3"/>
      <c r="R331" s="3"/>
    </row>
    <row r="332" spans="1:18">
      <c r="A332" s="3"/>
      <c r="B332" s="3"/>
      <c r="C332" s="3"/>
      <c r="D332" s="3"/>
      <c r="E332" s="3"/>
      <c r="F332" s="3"/>
      <c r="G332" s="3"/>
      <c r="H332" s="3"/>
      <c r="I332" s="3"/>
      <c r="J332" s="3"/>
      <c r="K332" s="3"/>
      <c r="L332" s="3"/>
      <c r="M332" s="3"/>
      <c r="N332" s="3"/>
      <c r="O332" s="3"/>
      <c r="P332" s="3"/>
      <c r="R332" s="3"/>
    </row>
    <row r="333" spans="1:18">
      <c r="A333" s="3"/>
      <c r="B333" s="3"/>
      <c r="C333" s="3"/>
      <c r="D333" s="3"/>
      <c r="E333" s="3"/>
      <c r="F333" s="3"/>
      <c r="G333" s="3"/>
      <c r="H333" s="3"/>
      <c r="I333" s="3"/>
      <c r="J333" s="3"/>
      <c r="K333" s="3"/>
      <c r="L333" s="3"/>
      <c r="M333" s="3"/>
      <c r="N333" s="3"/>
      <c r="O333" s="3"/>
      <c r="P333" s="3"/>
      <c r="R333" s="3"/>
    </row>
    <row r="334" spans="1:18">
      <c r="A334" s="3"/>
      <c r="B334" s="3"/>
      <c r="C334" s="3"/>
      <c r="D334" s="3"/>
      <c r="E334" s="3"/>
      <c r="F334" s="3"/>
      <c r="G334" s="3"/>
      <c r="H334" s="3"/>
      <c r="I334" s="3"/>
      <c r="J334" s="3"/>
      <c r="K334" s="3"/>
      <c r="L334" s="3"/>
      <c r="M334" s="3"/>
      <c r="N334" s="3"/>
      <c r="O334" s="3"/>
      <c r="P334" s="3"/>
      <c r="R334" s="3"/>
    </row>
    <row r="335" spans="1:18">
      <c r="A335" s="3"/>
      <c r="B335" s="3"/>
      <c r="C335" s="3"/>
      <c r="D335" s="3"/>
      <c r="E335" s="3"/>
      <c r="F335" s="3"/>
      <c r="G335" s="3"/>
      <c r="H335" s="3"/>
      <c r="I335" s="3"/>
      <c r="J335" s="3"/>
      <c r="K335" s="3"/>
      <c r="L335" s="3"/>
      <c r="M335" s="3"/>
      <c r="N335" s="3"/>
      <c r="O335" s="3"/>
      <c r="P335" s="3"/>
      <c r="R335" s="3"/>
    </row>
    <row r="336" spans="1:18">
      <c r="A336" s="3"/>
      <c r="B336" s="3"/>
      <c r="C336" s="3"/>
      <c r="D336" s="3"/>
      <c r="E336" s="3"/>
      <c r="F336" s="3"/>
      <c r="G336" s="3"/>
      <c r="H336" s="3"/>
      <c r="I336" s="3"/>
      <c r="J336" s="3"/>
      <c r="K336" s="3"/>
      <c r="L336" s="3"/>
      <c r="M336" s="3"/>
      <c r="N336" s="3"/>
      <c r="O336" s="3"/>
      <c r="P336" s="3"/>
      <c r="R336" s="3"/>
    </row>
    <row r="337" spans="1:18">
      <c r="A337" s="3"/>
      <c r="B337" s="3"/>
      <c r="C337" s="3"/>
      <c r="D337" s="3"/>
      <c r="E337" s="3"/>
      <c r="F337" s="3"/>
      <c r="G337" s="3"/>
      <c r="H337" s="3"/>
      <c r="I337" s="3"/>
      <c r="J337" s="3"/>
      <c r="K337" s="3"/>
      <c r="L337" s="3"/>
      <c r="M337" s="3"/>
      <c r="N337" s="3"/>
      <c r="O337" s="3"/>
      <c r="P337" s="3"/>
      <c r="R337" s="3"/>
    </row>
    <row r="338" spans="1:18">
      <c r="A338" s="3"/>
      <c r="B338" s="3"/>
      <c r="C338" s="3"/>
      <c r="D338" s="3"/>
      <c r="E338" s="3"/>
      <c r="F338" s="3"/>
      <c r="G338" s="3"/>
      <c r="H338" s="3"/>
      <c r="I338" s="3"/>
      <c r="J338" s="3"/>
      <c r="K338" s="3"/>
      <c r="L338" s="3"/>
      <c r="M338" s="3"/>
      <c r="N338" s="3"/>
      <c r="O338" s="3"/>
      <c r="P338" s="3"/>
      <c r="R338" s="3"/>
    </row>
    <row r="339" spans="1:18">
      <c r="A339" s="3"/>
      <c r="B339" s="3"/>
      <c r="C339" s="3"/>
      <c r="D339" s="3"/>
      <c r="E339" s="3"/>
      <c r="F339" s="3"/>
      <c r="G339" s="3"/>
      <c r="H339" s="3"/>
      <c r="I339" s="3"/>
      <c r="J339" s="3"/>
      <c r="K339" s="3"/>
      <c r="L339" s="3"/>
      <c r="M339" s="3"/>
      <c r="N339" s="3"/>
      <c r="O339" s="3"/>
      <c r="P339" s="3"/>
      <c r="R339" s="3"/>
    </row>
    <row r="340" spans="1:18">
      <c r="A340" s="3"/>
      <c r="B340" s="3"/>
      <c r="C340" s="3"/>
      <c r="D340" s="3"/>
      <c r="E340" s="3"/>
      <c r="F340" s="3"/>
      <c r="G340" s="3"/>
      <c r="H340" s="3"/>
      <c r="I340" s="3"/>
      <c r="J340" s="3"/>
      <c r="K340" s="3"/>
      <c r="L340" s="3"/>
      <c r="M340" s="3"/>
      <c r="N340" s="3"/>
      <c r="O340" s="3"/>
      <c r="P340" s="3"/>
      <c r="R340" s="3"/>
    </row>
    <row r="341" spans="1:18">
      <c r="A341" s="3"/>
      <c r="B341" s="3"/>
      <c r="C341" s="3"/>
      <c r="D341" s="3"/>
      <c r="E341" s="3"/>
      <c r="F341" s="3"/>
      <c r="G341" s="3"/>
      <c r="H341" s="3"/>
      <c r="I341" s="3"/>
      <c r="J341" s="3"/>
      <c r="K341" s="3"/>
      <c r="L341" s="3"/>
      <c r="M341" s="3"/>
      <c r="N341" s="3"/>
      <c r="O341" s="3"/>
      <c r="P341" s="3"/>
      <c r="R341" s="3"/>
    </row>
    <row r="342" spans="1:18">
      <c r="A342" s="3"/>
      <c r="B342" s="3"/>
      <c r="C342" s="3"/>
      <c r="D342" s="3"/>
      <c r="E342" s="3"/>
      <c r="F342" s="3"/>
      <c r="G342" s="3"/>
      <c r="H342" s="3"/>
      <c r="I342" s="3"/>
      <c r="J342" s="3"/>
      <c r="K342" s="3"/>
      <c r="L342" s="3"/>
      <c r="M342" s="3"/>
      <c r="N342" s="3"/>
      <c r="O342" s="3"/>
      <c r="P342" s="3"/>
      <c r="R342" s="3"/>
    </row>
    <row r="343" spans="1:18">
      <c r="A343" s="3"/>
      <c r="B343" s="3"/>
      <c r="C343" s="3"/>
      <c r="D343" s="3"/>
      <c r="E343" s="3"/>
      <c r="F343" s="3"/>
      <c r="G343" s="3"/>
      <c r="H343" s="3"/>
      <c r="I343" s="3"/>
      <c r="J343" s="3"/>
      <c r="K343" s="3"/>
      <c r="L343" s="3"/>
      <c r="M343" s="3"/>
      <c r="N343" s="3"/>
      <c r="O343" s="3"/>
      <c r="P343" s="3"/>
      <c r="R343" s="3"/>
    </row>
    <row r="344" spans="1:18">
      <c r="A344" s="3"/>
      <c r="B344" s="3"/>
      <c r="C344" s="3"/>
      <c r="D344" s="3"/>
      <c r="E344" s="3"/>
      <c r="F344" s="3"/>
      <c r="G344" s="3"/>
      <c r="H344" s="3"/>
      <c r="I344" s="3"/>
      <c r="J344" s="3"/>
      <c r="K344" s="3"/>
      <c r="L344" s="3"/>
      <c r="M344" s="3"/>
      <c r="N344" s="3"/>
      <c r="O344" s="3"/>
      <c r="P344" s="3"/>
      <c r="R344" s="3"/>
    </row>
    <row r="345" spans="1:18">
      <c r="A345" s="3"/>
      <c r="B345" s="3"/>
      <c r="C345" s="3"/>
      <c r="D345" s="3"/>
      <c r="E345" s="3"/>
      <c r="F345" s="3"/>
      <c r="G345" s="3"/>
      <c r="H345" s="3"/>
      <c r="I345" s="3"/>
      <c r="J345" s="3"/>
      <c r="K345" s="3"/>
      <c r="L345" s="3"/>
      <c r="M345" s="3"/>
      <c r="N345" s="3"/>
      <c r="O345" s="3"/>
      <c r="P345" s="3"/>
      <c r="R345" s="3"/>
    </row>
    <row r="346" spans="1:18">
      <c r="A346" s="3"/>
      <c r="B346" s="3"/>
      <c r="C346" s="3"/>
      <c r="D346" s="3"/>
      <c r="E346" s="3"/>
      <c r="F346" s="3"/>
      <c r="G346" s="3"/>
      <c r="H346" s="3"/>
      <c r="I346" s="3"/>
      <c r="J346" s="3"/>
      <c r="K346" s="3"/>
      <c r="L346" s="3"/>
      <c r="M346" s="3"/>
      <c r="N346" s="3"/>
      <c r="O346" s="3"/>
      <c r="P346" s="3"/>
      <c r="R346" s="3"/>
    </row>
    <row r="347" spans="1:18">
      <c r="A347" s="3"/>
      <c r="B347" s="3"/>
      <c r="C347" s="3"/>
      <c r="D347" s="3"/>
      <c r="E347" s="3"/>
      <c r="F347" s="3"/>
      <c r="G347" s="3"/>
      <c r="H347" s="3"/>
      <c r="I347" s="3"/>
      <c r="J347" s="3"/>
      <c r="K347" s="3"/>
      <c r="L347" s="3"/>
      <c r="M347" s="3"/>
      <c r="N347" s="3"/>
      <c r="O347" s="3"/>
      <c r="P347" s="3"/>
      <c r="R347" s="3"/>
    </row>
    <row r="348" spans="1:18">
      <c r="A348" s="3"/>
      <c r="B348" s="3"/>
      <c r="C348" s="3"/>
      <c r="D348" s="3"/>
      <c r="E348" s="3"/>
      <c r="F348" s="3"/>
      <c r="G348" s="3"/>
      <c r="H348" s="3"/>
      <c r="I348" s="3"/>
      <c r="J348" s="3"/>
      <c r="K348" s="3"/>
      <c r="L348" s="3"/>
      <c r="M348" s="3"/>
      <c r="N348" s="3"/>
      <c r="O348" s="3"/>
      <c r="P348" s="3"/>
      <c r="R348" s="3"/>
    </row>
    <row r="349" spans="1:18">
      <c r="A349" s="3"/>
      <c r="B349" s="3"/>
      <c r="C349" s="3"/>
      <c r="D349" s="3"/>
      <c r="E349" s="3"/>
      <c r="F349" s="3"/>
      <c r="G349" s="3"/>
      <c r="H349" s="3"/>
      <c r="I349" s="3"/>
      <c r="J349" s="3"/>
      <c r="K349" s="3"/>
      <c r="L349" s="3"/>
      <c r="M349" s="3"/>
      <c r="N349" s="3"/>
      <c r="O349" s="3"/>
      <c r="P349" s="3"/>
      <c r="R349" s="3"/>
    </row>
    <row r="350" spans="1:18">
      <c r="A350" s="3"/>
      <c r="B350" s="3"/>
      <c r="C350" s="3"/>
      <c r="D350" s="3"/>
      <c r="E350" s="3"/>
      <c r="F350" s="3"/>
      <c r="G350" s="3"/>
      <c r="H350" s="3"/>
      <c r="I350" s="3"/>
      <c r="J350" s="3"/>
      <c r="K350" s="3"/>
      <c r="L350" s="3"/>
      <c r="M350" s="3"/>
      <c r="N350" s="3"/>
      <c r="O350" s="3"/>
      <c r="P350" s="3"/>
      <c r="R350" s="3"/>
    </row>
    <row r="351" spans="1:18">
      <c r="A351" s="3"/>
      <c r="B351" s="3"/>
      <c r="C351" s="3"/>
      <c r="D351" s="3"/>
      <c r="E351" s="3"/>
      <c r="F351" s="3"/>
      <c r="G351" s="3"/>
      <c r="H351" s="3"/>
      <c r="I351" s="3"/>
      <c r="J351" s="3"/>
      <c r="K351" s="3"/>
      <c r="L351" s="3"/>
      <c r="M351" s="3"/>
      <c r="N351" s="3"/>
      <c r="O351" s="3"/>
      <c r="P351" s="3"/>
      <c r="R351" s="3"/>
    </row>
    <row r="352" spans="1:18">
      <c r="A352" s="3"/>
      <c r="B352" s="3"/>
      <c r="C352" s="3"/>
      <c r="D352" s="3"/>
      <c r="E352" s="3"/>
      <c r="F352" s="3"/>
      <c r="G352" s="3"/>
      <c r="H352" s="3"/>
      <c r="I352" s="3"/>
      <c r="J352" s="3"/>
      <c r="K352" s="3"/>
      <c r="L352" s="3"/>
      <c r="M352" s="3"/>
      <c r="N352" s="3"/>
      <c r="O352" s="3"/>
      <c r="P352" s="3"/>
      <c r="R352" s="3"/>
    </row>
    <row r="353" spans="1:18">
      <c r="A353" s="3"/>
      <c r="B353" s="3"/>
      <c r="C353" s="3"/>
      <c r="D353" s="3"/>
      <c r="E353" s="3"/>
      <c r="F353" s="3"/>
      <c r="G353" s="3"/>
      <c r="H353" s="3"/>
      <c r="I353" s="3"/>
      <c r="J353" s="3"/>
      <c r="K353" s="3"/>
      <c r="L353" s="3"/>
      <c r="M353" s="3"/>
      <c r="N353" s="3"/>
      <c r="O353" s="3"/>
      <c r="P353" s="3"/>
      <c r="R353" s="3"/>
    </row>
    <row r="354" spans="1:18">
      <c r="A354" s="3"/>
      <c r="B354" s="3"/>
      <c r="C354" s="3"/>
      <c r="D354" s="3"/>
      <c r="E354" s="3"/>
      <c r="F354" s="3"/>
      <c r="G354" s="3"/>
      <c r="H354" s="3"/>
      <c r="I354" s="3"/>
      <c r="J354" s="3"/>
      <c r="K354" s="3"/>
      <c r="L354" s="3"/>
      <c r="M354" s="3"/>
      <c r="N354" s="3"/>
      <c r="O354" s="3"/>
      <c r="P354" s="3"/>
      <c r="R354" s="3"/>
    </row>
    <row r="355" spans="1:18">
      <c r="A355" s="3"/>
      <c r="B355" s="3"/>
      <c r="C355" s="3"/>
      <c r="D355" s="3"/>
      <c r="E355" s="3"/>
      <c r="F355" s="3"/>
      <c r="G355" s="3"/>
      <c r="H355" s="3"/>
      <c r="I355" s="3"/>
      <c r="J355" s="3"/>
      <c r="K355" s="3"/>
      <c r="L355" s="3"/>
      <c r="M355" s="3"/>
      <c r="N355" s="3"/>
      <c r="O355" s="3"/>
      <c r="P355" s="3"/>
      <c r="R355" s="3"/>
    </row>
    <row r="356" spans="1:18">
      <c r="A356" s="3"/>
      <c r="B356" s="3"/>
      <c r="C356" s="3"/>
      <c r="D356" s="3"/>
      <c r="E356" s="3"/>
      <c r="F356" s="3"/>
      <c r="G356" s="3"/>
      <c r="H356" s="3"/>
      <c r="I356" s="3"/>
      <c r="J356" s="3"/>
      <c r="K356" s="3"/>
      <c r="L356" s="3"/>
      <c r="M356" s="3"/>
      <c r="N356" s="3"/>
      <c r="O356" s="3"/>
      <c r="P356" s="3"/>
      <c r="R356" s="3"/>
    </row>
    <row r="357" spans="1:18">
      <c r="A357" s="3"/>
      <c r="B357" s="3"/>
      <c r="C357" s="3"/>
      <c r="D357" s="3"/>
      <c r="E357" s="3"/>
      <c r="F357" s="3"/>
      <c r="G357" s="3"/>
      <c r="H357" s="3"/>
      <c r="I357" s="3"/>
      <c r="J357" s="3"/>
      <c r="K357" s="3"/>
      <c r="L357" s="3"/>
      <c r="M357" s="3"/>
      <c r="N357" s="3"/>
      <c r="O357" s="3"/>
      <c r="P357" s="3"/>
      <c r="R357" s="3"/>
    </row>
    <row r="358" spans="1:18">
      <c r="A358" s="3"/>
      <c r="B358" s="3"/>
      <c r="C358" s="3"/>
      <c r="D358" s="3"/>
      <c r="E358" s="3"/>
      <c r="F358" s="3"/>
      <c r="G358" s="3"/>
      <c r="H358" s="3"/>
      <c r="I358" s="3"/>
      <c r="J358" s="3"/>
      <c r="K358" s="3"/>
      <c r="L358" s="3"/>
      <c r="M358" s="3"/>
      <c r="N358" s="3"/>
      <c r="O358" s="3"/>
      <c r="P358" s="3"/>
      <c r="R358" s="3"/>
    </row>
    <row r="359" spans="1:18">
      <c r="A359" s="3"/>
      <c r="B359" s="3"/>
      <c r="C359" s="3"/>
      <c r="D359" s="3"/>
      <c r="E359" s="3"/>
      <c r="F359" s="3"/>
      <c r="G359" s="3"/>
      <c r="H359" s="3"/>
      <c r="I359" s="3"/>
      <c r="J359" s="3"/>
      <c r="K359" s="3"/>
      <c r="L359" s="3"/>
      <c r="M359" s="3"/>
      <c r="N359" s="3"/>
      <c r="O359" s="3"/>
      <c r="P359" s="3"/>
      <c r="R359" s="3"/>
    </row>
    <row r="360" spans="1:18">
      <c r="A360" s="3"/>
      <c r="B360" s="3"/>
      <c r="C360" s="3"/>
      <c r="D360" s="3"/>
      <c r="E360" s="3"/>
      <c r="F360" s="3"/>
      <c r="G360" s="3"/>
      <c r="H360" s="3"/>
      <c r="I360" s="3"/>
      <c r="J360" s="3"/>
      <c r="K360" s="3"/>
      <c r="L360" s="3"/>
      <c r="M360" s="3"/>
      <c r="N360" s="3"/>
      <c r="O360" s="3"/>
      <c r="P360" s="3"/>
      <c r="R360" s="3"/>
    </row>
    <row r="361" spans="1:18">
      <c r="A361" s="3"/>
      <c r="B361" s="3"/>
      <c r="C361" s="3"/>
      <c r="D361" s="3"/>
      <c r="E361" s="3"/>
      <c r="F361" s="3"/>
      <c r="G361" s="3"/>
      <c r="H361" s="3"/>
      <c r="I361" s="3"/>
      <c r="J361" s="3"/>
      <c r="K361" s="3"/>
      <c r="L361" s="3"/>
      <c r="M361" s="3"/>
      <c r="N361" s="3"/>
      <c r="O361" s="3"/>
      <c r="P361" s="3"/>
      <c r="R361" s="3"/>
    </row>
    <row r="362" spans="1:18">
      <c r="A362" s="3"/>
      <c r="B362" s="3"/>
      <c r="C362" s="3"/>
      <c r="D362" s="3"/>
      <c r="E362" s="3"/>
      <c r="F362" s="3"/>
      <c r="G362" s="3"/>
      <c r="H362" s="3"/>
      <c r="I362" s="3"/>
      <c r="J362" s="3"/>
      <c r="K362" s="3"/>
      <c r="L362" s="3"/>
      <c r="M362" s="3"/>
      <c r="N362" s="3"/>
      <c r="O362" s="3"/>
      <c r="P362" s="3"/>
      <c r="R362" s="3"/>
    </row>
    <row r="363" spans="1:18">
      <c r="A363" s="3"/>
      <c r="B363" s="3"/>
      <c r="C363" s="3"/>
      <c r="D363" s="3"/>
      <c r="E363" s="3"/>
      <c r="F363" s="3"/>
      <c r="G363" s="3"/>
      <c r="H363" s="3"/>
      <c r="I363" s="3"/>
      <c r="J363" s="3"/>
      <c r="K363" s="3"/>
      <c r="L363" s="3"/>
      <c r="M363" s="3"/>
      <c r="N363" s="3"/>
      <c r="O363" s="3"/>
      <c r="P363" s="3"/>
      <c r="R363" s="3"/>
    </row>
    <row r="364" spans="1:18">
      <c r="A364" s="3"/>
      <c r="B364" s="3"/>
      <c r="C364" s="3"/>
      <c r="D364" s="3"/>
      <c r="E364" s="3"/>
      <c r="F364" s="3"/>
      <c r="G364" s="3"/>
      <c r="H364" s="3"/>
      <c r="I364" s="3"/>
      <c r="J364" s="3"/>
      <c r="K364" s="3"/>
      <c r="L364" s="3"/>
      <c r="M364" s="3"/>
      <c r="N364" s="3"/>
      <c r="O364" s="3"/>
      <c r="P364" s="3"/>
      <c r="R364" s="3"/>
    </row>
    <row r="365" spans="1:18">
      <c r="A365" s="3"/>
      <c r="B365" s="3"/>
      <c r="C365" s="3"/>
      <c r="D365" s="3"/>
      <c r="E365" s="3"/>
      <c r="F365" s="3"/>
      <c r="G365" s="3"/>
      <c r="H365" s="3"/>
      <c r="I365" s="3"/>
      <c r="J365" s="3"/>
      <c r="K365" s="3"/>
      <c r="L365" s="3"/>
      <c r="M365" s="3"/>
      <c r="N365" s="3"/>
      <c r="O365" s="3"/>
      <c r="P365" s="3"/>
      <c r="R365" s="3"/>
    </row>
    <row r="366" spans="1:18">
      <c r="A366" s="3"/>
      <c r="B366" s="3"/>
      <c r="C366" s="3"/>
      <c r="D366" s="3"/>
      <c r="E366" s="3"/>
      <c r="F366" s="3"/>
      <c r="G366" s="3"/>
      <c r="H366" s="3"/>
      <c r="I366" s="3"/>
      <c r="J366" s="3"/>
      <c r="K366" s="3"/>
      <c r="L366" s="3"/>
      <c r="M366" s="3"/>
      <c r="N366" s="3"/>
      <c r="O366" s="3"/>
      <c r="P366" s="3"/>
      <c r="R366" s="3"/>
    </row>
    <row r="367" spans="1:18">
      <c r="A367" s="3"/>
      <c r="B367" s="3"/>
      <c r="C367" s="3"/>
      <c r="D367" s="3"/>
      <c r="E367" s="3"/>
      <c r="F367" s="3"/>
      <c r="G367" s="3"/>
      <c r="H367" s="3"/>
      <c r="I367" s="3"/>
      <c r="J367" s="3"/>
      <c r="K367" s="3"/>
      <c r="L367" s="3"/>
      <c r="M367" s="3"/>
      <c r="N367" s="3"/>
      <c r="O367" s="3"/>
      <c r="P367" s="3"/>
      <c r="R367" s="3"/>
    </row>
    <row r="368" spans="1:18">
      <c r="A368" s="3"/>
      <c r="B368" s="3"/>
      <c r="C368" s="3"/>
      <c r="D368" s="3"/>
      <c r="E368" s="3"/>
      <c r="F368" s="3"/>
      <c r="G368" s="3"/>
      <c r="H368" s="3"/>
      <c r="I368" s="3"/>
      <c r="J368" s="3"/>
      <c r="K368" s="3"/>
      <c r="L368" s="3"/>
      <c r="M368" s="3"/>
      <c r="N368" s="3"/>
      <c r="O368" s="3"/>
      <c r="P368" s="3"/>
      <c r="R368" s="3"/>
    </row>
    <row r="369" spans="1:18">
      <c r="A369" s="3"/>
      <c r="B369" s="3"/>
      <c r="C369" s="3"/>
      <c r="D369" s="3"/>
      <c r="E369" s="3"/>
      <c r="F369" s="3"/>
      <c r="G369" s="3"/>
      <c r="H369" s="3"/>
      <c r="I369" s="3"/>
      <c r="J369" s="3"/>
      <c r="K369" s="3"/>
      <c r="L369" s="3"/>
      <c r="M369" s="3"/>
      <c r="N369" s="3"/>
      <c r="O369" s="3"/>
      <c r="P369" s="3"/>
      <c r="R369" s="3"/>
    </row>
    <row r="370" spans="1:18">
      <c r="A370" s="3"/>
      <c r="B370" s="3"/>
      <c r="C370" s="3"/>
      <c r="D370" s="3"/>
      <c r="E370" s="3"/>
      <c r="F370" s="3"/>
      <c r="G370" s="3"/>
      <c r="H370" s="3"/>
      <c r="I370" s="3"/>
      <c r="J370" s="3"/>
      <c r="K370" s="3"/>
      <c r="L370" s="3"/>
      <c r="M370" s="3"/>
      <c r="N370" s="3"/>
      <c r="O370" s="3"/>
      <c r="P370" s="3"/>
      <c r="R370" s="3"/>
    </row>
    <row r="371" spans="1:18">
      <c r="A371" s="3"/>
      <c r="B371" s="3"/>
      <c r="C371" s="3"/>
      <c r="D371" s="3"/>
      <c r="E371" s="3"/>
      <c r="F371" s="3"/>
      <c r="G371" s="3"/>
      <c r="H371" s="3"/>
      <c r="I371" s="3"/>
      <c r="J371" s="3"/>
      <c r="K371" s="3"/>
      <c r="L371" s="3"/>
      <c r="M371" s="3"/>
      <c r="N371" s="3"/>
      <c r="O371" s="3"/>
      <c r="P371" s="3"/>
      <c r="R371" s="3"/>
    </row>
    <row r="372" spans="1:18">
      <c r="A372" s="3"/>
      <c r="B372" s="3"/>
      <c r="C372" s="3"/>
      <c r="D372" s="3"/>
      <c r="E372" s="3"/>
      <c r="F372" s="3"/>
      <c r="G372" s="3"/>
      <c r="H372" s="3"/>
      <c r="I372" s="3"/>
      <c r="J372" s="3"/>
      <c r="K372" s="3"/>
      <c r="L372" s="3"/>
      <c r="M372" s="3"/>
      <c r="N372" s="3"/>
      <c r="O372" s="3"/>
      <c r="P372" s="3"/>
      <c r="R372" s="3"/>
    </row>
    <row r="373" spans="1:18">
      <c r="A373" s="3"/>
      <c r="B373" s="3"/>
      <c r="C373" s="3"/>
      <c r="D373" s="3"/>
      <c r="E373" s="3"/>
      <c r="F373" s="3"/>
      <c r="G373" s="3"/>
      <c r="H373" s="3"/>
      <c r="I373" s="3"/>
      <c r="J373" s="3"/>
      <c r="K373" s="3"/>
      <c r="L373" s="3"/>
      <c r="M373" s="3"/>
      <c r="N373" s="3"/>
      <c r="O373" s="3"/>
      <c r="P373" s="3"/>
      <c r="R373" s="3"/>
    </row>
    <row r="374" spans="1:18">
      <c r="A374" s="3"/>
      <c r="B374" s="3"/>
      <c r="C374" s="3"/>
      <c r="D374" s="3"/>
      <c r="E374" s="3"/>
      <c r="F374" s="3"/>
      <c r="G374" s="3"/>
      <c r="H374" s="3"/>
      <c r="I374" s="3"/>
      <c r="J374" s="3"/>
      <c r="K374" s="3"/>
      <c r="L374" s="3"/>
      <c r="M374" s="3"/>
      <c r="N374" s="3"/>
      <c r="O374" s="3"/>
      <c r="P374" s="3"/>
      <c r="R374" s="3"/>
    </row>
    <row r="375" spans="1:18">
      <c r="A375" s="3"/>
      <c r="B375" s="3"/>
      <c r="C375" s="3"/>
      <c r="D375" s="3"/>
      <c r="E375" s="3"/>
      <c r="F375" s="3"/>
      <c r="G375" s="3"/>
      <c r="H375" s="3"/>
      <c r="I375" s="3"/>
      <c r="J375" s="3"/>
      <c r="K375" s="3"/>
      <c r="L375" s="3"/>
      <c r="M375" s="3"/>
      <c r="N375" s="3"/>
      <c r="O375" s="3"/>
      <c r="P375" s="3"/>
      <c r="R375" s="3"/>
    </row>
    <row r="376" spans="1:18">
      <c r="A376" s="3"/>
      <c r="B376" s="3"/>
      <c r="C376" s="3"/>
      <c r="D376" s="3"/>
      <c r="E376" s="3"/>
      <c r="F376" s="3"/>
      <c r="G376" s="3"/>
      <c r="H376" s="3"/>
      <c r="I376" s="3"/>
      <c r="J376" s="3"/>
      <c r="K376" s="3"/>
      <c r="L376" s="3"/>
      <c r="M376" s="3"/>
      <c r="N376" s="3"/>
      <c r="O376" s="3"/>
      <c r="P376" s="3"/>
      <c r="R376" s="3"/>
    </row>
    <row r="377" spans="1:18">
      <c r="A377" s="3"/>
      <c r="B377" s="3"/>
      <c r="C377" s="3"/>
      <c r="D377" s="3"/>
      <c r="E377" s="3"/>
      <c r="F377" s="3"/>
      <c r="G377" s="3"/>
      <c r="H377" s="3"/>
      <c r="I377" s="3"/>
      <c r="J377" s="3"/>
      <c r="K377" s="3"/>
      <c r="L377" s="3"/>
      <c r="M377" s="3"/>
      <c r="N377" s="3"/>
      <c r="O377" s="3"/>
      <c r="P377" s="3"/>
      <c r="R377" s="3"/>
    </row>
    <row r="378" spans="1:18">
      <c r="A378" s="3"/>
      <c r="B378" s="3"/>
      <c r="C378" s="3"/>
      <c r="D378" s="3"/>
      <c r="E378" s="3"/>
      <c r="F378" s="3"/>
      <c r="G378" s="3"/>
      <c r="H378" s="3"/>
      <c r="I378" s="3"/>
      <c r="J378" s="3"/>
      <c r="K378" s="3"/>
      <c r="L378" s="3"/>
      <c r="M378" s="3"/>
      <c r="N378" s="3"/>
      <c r="O378" s="3"/>
      <c r="P378" s="3"/>
      <c r="R378" s="3"/>
    </row>
    <row r="379" spans="1:18">
      <c r="A379" s="3"/>
      <c r="B379" s="3"/>
      <c r="C379" s="3"/>
      <c r="D379" s="3"/>
      <c r="E379" s="3"/>
      <c r="F379" s="3"/>
      <c r="G379" s="3"/>
      <c r="H379" s="3"/>
      <c r="I379" s="3"/>
      <c r="J379" s="3"/>
      <c r="K379" s="3"/>
      <c r="L379" s="3"/>
      <c r="M379" s="3"/>
      <c r="N379" s="3"/>
      <c r="O379" s="3"/>
      <c r="P379" s="3"/>
      <c r="R379" s="3"/>
    </row>
    <row r="380" spans="1:18">
      <c r="A380" s="3"/>
      <c r="B380" s="3"/>
      <c r="C380" s="3"/>
      <c r="D380" s="3"/>
      <c r="E380" s="3"/>
      <c r="F380" s="3"/>
      <c r="G380" s="3"/>
      <c r="H380" s="3"/>
      <c r="I380" s="3"/>
      <c r="J380" s="3"/>
      <c r="K380" s="3"/>
      <c r="L380" s="3"/>
      <c r="M380" s="3"/>
      <c r="N380" s="3"/>
      <c r="O380" s="3"/>
      <c r="P380" s="3"/>
      <c r="R380" s="3"/>
    </row>
    <row r="381" spans="1:18">
      <c r="A381" s="3"/>
      <c r="B381" s="3"/>
      <c r="C381" s="3"/>
      <c r="D381" s="3"/>
      <c r="E381" s="3"/>
      <c r="F381" s="3"/>
      <c r="G381" s="3"/>
      <c r="H381" s="3"/>
      <c r="I381" s="3"/>
      <c r="J381" s="3"/>
      <c r="K381" s="3"/>
      <c r="L381" s="3"/>
      <c r="M381" s="3"/>
      <c r="N381" s="3"/>
      <c r="O381" s="3"/>
      <c r="P381" s="3"/>
      <c r="R381" s="3"/>
    </row>
    <row r="382" spans="1:18">
      <c r="A382" s="3"/>
      <c r="B382" s="3"/>
      <c r="C382" s="3"/>
      <c r="D382" s="3"/>
      <c r="E382" s="3"/>
      <c r="F382" s="3"/>
      <c r="G382" s="3"/>
      <c r="H382" s="3"/>
      <c r="I382" s="3"/>
      <c r="J382" s="3"/>
      <c r="K382" s="3"/>
      <c r="L382" s="3"/>
      <c r="M382" s="3"/>
      <c r="N382" s="3"/>
      <c r="O382" s="3"/>
      <c r="P382" s="3"/>
      <c r="R382" s="3"/>
    </row>
    <row r="383" spans="1:18">
      <c r="A383" s="3"/>
      <c r="B383" s="3"/>
      <c r="C383" s="3"/>
      <c r="D383" s="3"/>
      <c r="E383" s="3"/>
      <c r="F383" s="3"/>
      <c r="G383" s="3"/>
      <c r="H383" s="3"/>
      <c r="I383" s="3"/>
      <c r="J383" s="3"/>
      <c r="K383" s="3"/>
      <c r="L383" s="3"/>
      <c r="M383" s="3"/>
      <c r="N383" s="3"/>
      <c r="O383" s="3"/>
      <c r="P383" s="3"/>
      <c r="R383" s="3"/>
    </row>
    <row r="384" spans="1:18">
      <c r="A384" s="3"/>
      <c r="B384" s="3"/>
      <c r="C384" s="3"/>
      <c r="D384" s="3"/>
      <c r="E384" s="3"/>
      <c r="F384" s="3"/>
      <c r="G384" s="3"/>
      <c r="H384" s="3"/>
      <c r="I384" s="3"/>
      <c r="J384" s="3"/>
      <c r="K384" s="3"/>
      <c r="L384" s="3"/>
      <c r="M384" s="3"/>
      <c r="N384" s="3"/>
      <c r="O384" s="3"/>
      <c r="P384" s="3"/>
      <c r="R384" s="3"/>
    </row>
    <row r="385" spans="1:18">
      <c r="A385" s="3"/>
      <c r="B385" s="3"/>
      <c r="C385" s="3"/>
      <c r="D385" s="3"/>
      <c r="E385" s="3"/>
      <c r="F385" s="3"/>
      <c r="G385" s="3"/>
      <c r="H385" s="3"/>
      <c r="I385" s="3"/>
      <c r="J385" s="3"/>
      <c r="K385" s="3"/>
      <c r="L385" s="3"/>
      <c r="M385" s="3"/>
      <c r="N385" s="3"/>
      <c r="O385" s="3"/>
      <c r="P385" s="3"/>
      <c r="R385" s="3"/>
    </row>
    <row r="386" spans="1:18">
      <c r="A386" s="3"/>
      <c r="B386" s="3"/>
      <c r="C386" s="3"/>
      <c r="D386" s="3"/>
      <c r="E386" s="3"/>
      <c r="F386" s="3"/>
      <c r="G386" s="3"/>
      <c r="H386" s="3"/>
      <c r="I386" s="3"/>
      <c r="J386" s="3"/>
      <c r="K386" s="3"/>
      <c r="L386" s="3"/>
      <c r="M386" s="3"/>
      <c r="N386" s="3"/>
      <c r="O386" s="3"/>
      <c r="P386" s="3"/>
      <c r="R386" s="3"/>
    </row>
    <row r="387" spans="1:18">
      <c r="A387" s="3"/>
      <c r="B387" s="3"/>
      <c r="C387" s="3"/>
      <c r="D387" s="3"/>
      <c r="E387" s="3"/>
      <c r="F387" s="3"/>
      <c r="G387" s="3"/>
      <c r="H387" s="3"/>
      <c r="I387" s="3"/>
      <c r="J387" s="3"/>
      <c r="K387" s="3"/>
      <c r="L387" s="3"/>
      <c r="M387" s="3"/>
      <c r="N387" s="3"/>
      <c r="O387" s="3"/>
      <c r="P387" s="3"/>
      <c r="R387" s="3"/>
    </row>
    <row r="388" spans="1:18">
      <c r="A388" s="3"/>
      <c r="B388" s="3"/>
      <c r="C388" s="3"/>
      <c r="D388" s="3"/>
      <c r="E388" s="3"/>
      <c r="F388" s="3"/>
      <c r="G388" s="3"/>
      <c r="H388" s="3"/>
      <c r="I388" s="3"/>
      <c r="J388" s="3"/>
      <c r="K388" s="3"/>
      <c r="L388" s="3"/>
      <c r="M388" s="3"/>
      <c r="N388" s="3"/>
      <c r="O388" s="3"/>
      <c r="P388" s="3"/>
      <c r="R388" s="3"/>
    </row>
    <row r="389" spans="1:18">
      <c r="A389" s="3"/>
      <c r="B389" s="3"/>
      <c r="C389" s="3"/>
      <c r="D389" s="3"/>
      <c r="E389" s="3"/>
      <c r="F389" s="3"/>
      <c r="G389" s="3"/>
      <c r="H389" s="3"/>
      <c r="I389" s="3"/>
      <c r="J389" s="3"/>
      <c r="K389" s="3"/>
      <c r="L389" s="3"/>
      <c r="M389" s="3"/>
      <c r="N389" s="3"/>
      <c r="O389" s="3"/>
      <c r="P389" s="3"/>
      <c r="R389" s="3"/>
    </row>
    <row r="390" spans="1:18">
      <c r="A390" s="3"/>
      <c r="B390" s="3"/>
      <c r="C390" s="3"/>
      <c r="D390" s="3"/>
      <c r="E390" s="3"/>
      <c r="F390" s="3"/>
      <c r="G390" s="3"/>
      <c r="H390" s="3"/>
      <c r="I390" s="3"/>
      <c r="J390" s="3"/>
      <c r="K390" s="3"/>
      <c r="L390" s="3"/>
      <c r="M390" s="3"/>
      <c r="N390" s="3"/>
      <c r="O390" s="3"/>
      <c r="P390" s="3"/>
      <c r="R390" s="3"/>
    </row>
    <row r="391" spans="1:18">
      <c r="A391" s="3"/>
      <c r="B391" s="3"/>
      <c r="C391" s="3"/>
      <c r="D391" s="3"/>
      <c r="E391" s="3"/>
      <c r="F391" s="3"/>
      <c r="G391" s="3"/>
      <c r="H391" s="3"/>
      <c r="I391" s="3"/>
      <c r="J391" s="3"/>
      <c r="K391" s="3"/>
      <c r="L391" s="3"/>
      <c r="M391" s="3"/>
      <c r="N391" s="3"/>
      <c r="O391" s="3"/>
      <c r="P391" s="3"/>
      <c r="R391" s="3"/>
    </row>
    <row r="392" spans="1:18">
      <c r="A392" s="3"/>
      <c r="B392" s="3"/>
      <c r="C392" s="3"/>
      <c r="D392" s="3"/>
      <c r="E392" s="3"/>
      <c r="F392" s="3"/>
      <c r="G392" s="3"/>
      <c r="H392" s="3"/>
      <c r="I392" s="3"/>
      <c r="J392" s="3"/>
      <c r="K392" s="3"/>
      <c r="L392" s="3"/>
      <c r="M392" s="3"/>
      <c r="N392" s="3"/>
      <c r="O392" s="3"/>
      <c r="P392" s="3"/>
      <c r="R392" s="3"/>
    </row>
    <row r="393" spans="1:18">
      <c r="A393" s="3"/>
      <c r="B393" s="3"/>
      <c r="C393" s="3"/>
      <c r="D393" s="3"/>
      <c r="E393" s="3"/>
      <c r="F393" s="3"/>
      <c r="G393" s="3"/>
      <c r="H393" s="3"/>
      <c r="I393" s="3"/>
      <c r="J393" s="3"/>
      <c r="K393" s="3"/>
      <c r="L393" s="3"/>
      <c r="M393" s="3"/>
      <c r="N393" s="3"/>
      <c r="O393" s="3"/>
      <c r="P393" s="3"/>
      <c r="R393" s="3"/>
    </row>
    <row r="394" spans="1:18">
      <c r="A394" s="3"/>
      <c r="B394" s="3"/>
      <c r="C394" s="3"/>
      <c r="D394" s="3"/>
      <c r="E394" s="3"/>
      <c r="F394" s="3"/>
      <c r="G394" s="3"/>
      <c r="H394" s="3"/>
      <c r="I394" s="3"/>
      <c r="J394" s="3"/>
      <c r="K394" s="3"/>
      <c r="L394" s="3"/>
      <c r="M394" s="3"/>
      <c r="N394" s="3"/>
      <c r="O394" s="3"/>
      <c r="P394" s="3"/>
      <c r="R394" s="3"/>
    </row>
    <row r="395" spans="1:18">
      <c r="A395" s="3"/>
      <c r="B395" s="3"/>
      <c r="C395" s="3"/>
      <c r="D395" s="3"/>
      <c r="E395" s="3"/>
      <c r="F395" s="3"/>
      <c r="G395" s="3"/>
      <c r="H395" s="3"/>
      <c r="I395" s="3"/>
      <c r="J395" s="3"/>
      <c r="K395" s="3"/>
      <c r="L395" s="3"/>
      <c r="M395" s="3"/>
      <c r="N395" s="3"/>
      <c r="O395" s="3"/>
      <c r="P395" s="3"/>
      <c r="R395" s="3"/>
    </row>
    <row r="396" spans="1:18">
      <c r="A396" s="3"/>
      <c r="B396" s="3"/>
      <c r="C396" s="3"/>
      <c r="D396" s="3"/>
      <c r="E396" s="3"/>
      <c r="F396" s="3"/>
      <c r="G396" s="3"/>
      <c r="H396" s="3"/>
      <c r="I396" s="3"/>
      <c r="J396" s="3"/>
      <c r="K396" s="3"/>
      <c r="L396" s="3"/>
      <c r="M396" s="3"/>
      <c r="N396" s="3"/>
      <c r="O396" s="3"/>
      <c r="P396" s="3"/>
      <c r="R396" s="3"/>
    </row>
    <row r="397" spans="1:18">
      <c r="A397" s="3"/>
      <c r="B397" s="3"/>
      <c r="C397" s="3"/>
      <c r="D397" s="3"/>
      <c r="E397" s="3"/>
      <c r="F397" s="3"/>
      <c r="G397" s="3"/>
      <c r="H397" s="3"/>
      <c r="I397" s="3"/>
      <c r="J397" s="3"/>
      <c r="K397" s="3"/>
      <c r="L397" s="3"/>
      <c r="M397" s="3"/>
      <c r="N397" s="3"/>
      <c r="O397" s="3"/>
      <c r="P397" s="3"/>
      <c r="R397" s="3"/>
    </row>
    <row r="398" spans="1:18">
      <c r="A398" s="3"/>
      <c r="B398" s="3"/>
      <c r="C398" s="3"/>
      <c r="D398" s="3"/>
      <c r="E398" s="3"/>
      <c r="F398" s="3"/>
      <c r="G398" s="3"/>
      <c r="H398" s="3"/>
      <c r="I398" s="3"/>
      <c r="J398" s="3"/>
      <c r="K398" s="3"/>
      <c r="L398" s="3"/>
      <c r="M398" s="3"/>
      <c r="N398" s="3"/>
      <c r="O398" s="3"/>
      <c r="P398" s="3"/>
      <c r="R398" s="3"/>
    </row>
    <row r="399" spans="1:18">
      <c r="A399" s="3"/>
      <c r="B399" s="3"/>
      <c r="C399" s="3"/>
      <c r="D399" s="3"/>
      <c r="E399" s="3"/>
      <c r="F399" s="3"/>
      <c r="G399" s="3"/>
      <c r="H399" s="3"/>
      <c r="I399" s="3"/>
      <c r="J399" s="3"/>
      <c r="K399" s="3"/>
      <c r="L399" s="3"/>
      <c r="M399" s="3"/>
      <c r="N399" s="3"/>
      <c r="O399" s="3"/>
      <c r="P399" s="3"/>
      <c r="R399" s="3"/>
    </row>
  </sheetData>
  <sortState ref="S5:S19">
    <sortCondition ref="S8"/>
  </sortState>
  <dataValidations count="1">
    <dataValidation type="list" allowBlank="1" showInputMessage="1" showErrorMessage="1" sqref="B14">
      <formula1>ranks</formula1>
    </dataValidation>
  </dataValidations>
  <pageMargins left="0.75" right="0.75" top="1" bottom="1" header="0.5" footer="0.5"/>
  <pageSetup paperSize="9" orientation="portrait" horizontalDpi="4294967292" verticalDpi="4294967292"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3"/>
  <dimension ref="A1:L2"/>
  <sheetViews>
    <sheetView topLeftCell="A2" zoomScale="70" zoomScaleNormal="70" workbookViewId="0">
      <selection activeCell="A4" sqref="A4"/>
    </sheetView>
  </sheetViews>
  <sheetFormatPr defaultColWidth="11" defaultRowHeight="15.75"/>
  <cols>
    <col min="1" max="1" width="12.75" bestFit="1" customWidth="1"/>
    <col min="2" max="2" width="13.375" bestFit="1" customWidth="1"/>
    <col min="3" max="7" width="9.625" bestFit="1" customWidth="1"/>
    <col min="8" max="8" width="8.75" customWidth="1"/>
    <col min="9" max="9" width="13" hidden="1" customWidth="1"/>
    <col min="10" max="10" width="13.375" hidden="1" customWidth="1"/>
    <col min="11" max="11" width="14" hidden="1" customWidth="1"/>
    <col min="12" max="12" width="14.375" hidden="1" customWidth="1"/>
    <col min="13" max="41" width="25" customWidth="1"/>
    <col min="42" max="42" width="11" customWidth="1"/>
    <col min="43" max="43" width="13.875" customWidth="1"/>
    <col min="44" max="44" width="18.75" customWidth="1"/>
    <col min="45" max="45" width="15.125" bestFit="1" customWidth="1"/>
    <col min="46" max="46" width="20" customWidth="1"/>
    <col min="47" max="47" width="15.125" customWidth="1"/>
    <col min="48" max="48" width="20" customWidth="1"/>
    <col min="49" max="49" width="18.5" customWidth="1"/>
    <col min="50" max="50" width="23.125" customWidth="1"/>
    <col min="51" max="51" width="19.75" bestFit="1" customWidth="1"/>
    <col min="52" max="52" width="24.625" customWidth="1"/>
    <col min="53" max="53" width="18.75" bestFit="1" customWidth="1"/>
    <col min="54" max="54" width="23.375" customWidth="1"/>
    <col min="55" max="55" width="19.25" customWidth="1"/>
    <col min="56" max="56" width="23.875" customWidth="1"/>
    <col min="57" max="57" width="19" bestFit="1" customWidth="1"/>
    <col min="58" max="58" width="23.75" customWidth="1"/>
    <col min="59" max="59" width="16.375" customWidth="1"/>
    <col min="60" max="60" width="21.25" customWidth="1"/>
    <col min="61" max="61" width="16.5" customWidth="1"/>
    <col min="62" max="62" width="21.375" customWidth="1"/>
    <col min="63" max="63" width="13.75" customWidth="1"/>
    <col min="64" max="64" width="18.5" customWidth="1"/>
    <col min="65" max="65" width="15.5" customWidth="1"/>
    <col min="66" max="66" width="20.25" customWidth="1"/>
    <col min="67" max="67" width="17.5" customWidth="1"/>
    <col min="68" max="68" width="22.25" customWidth="1"/>
    <col min="69" max="69" width="16.375" bestFit="1" customWidth="1"/>
    <col min="70" max="70" width="21.25" customWidth="1"/>
    <col min="71" max="71" width="17.75" customWidth="1"/>
    <col min="72" max="72" width="22.625" customWidth="1"/>
    <col min="73" max="73" width="13.125" customWidth="1"/>
    <col min="74" max="74" width="17.75" customWidth="1"/>
    <col min="75" max="75" width="24.75" bestFit="1" customWidth="1"/>
    <col min="76" max="76" width="29.375" customWidth="1"/>
    <col min="77" max="77" width="16.5" customWidth="1"/>
    <col min="78" max="78" width="21.375" customWidth="1"/>
    <col min="79" max="79" width="15.5" customWidth="1"/>
    <col min="80" max="80" width="20.25" customWidth="1"/>
    <col min="81" max="81" width="18.5" bestFit="1" customWidth="1"/>
    <col min="82" max="82" width="23.125" customWidth="1"/>
    <col min="83" max="83" width="11" customWidth="1"/>
    <col min="84" max="84" width="14.25" customWidth="1"/>
    <col min="85" max="85" width="24.75" bestFit="1" customWidth="1"/>
    <col min="86" max="86" width="29.375" bestFit="1" customWidth="1"/>
    <col min="87" max="87" width="14.25" bestFit="1" customWidth="1"/>
    <col min="88" max="88" width="13.5" customWidth="1"/>
    <col min="89" max="89" width="18.125" bestFit="1" customWidth="1"/>
    <col min="90" max="90" width="14.25" bestFit="1" customWidth="1"/>
    <col min="91" max="91" width="14.625" bestFit="1" customWidth="1"/>
    <col min="92" max="92" width="19.375" bestFit="1" customWidth="1"/>
    <col min="93" max="93" width="14.25" bestFit="1" customWidth="1"/>
    <col min="94" max="94" width="19.75" bestFit="1" customWidth="1"/>
    <col min="95" max="95" width="24.625" bestFit="1" customWidth="1"/>
    <col min="96" max="96" width="14.25" bestFit="1" customWidth="1"/>
    <col min="97" max="97" width="13.125" customWidth="1"/>
    <col min="98" max="98" width="17.75" bestFit="1" customWidth="1"/>
    <col min="99" max="99" width="14.25" bestFit="1" customWidth="1"/>
    <col min="100" max="100" width="17.75" bestFit="1" customWidth="1"/>
    <col min="101" max="101" width="22.625" bestFit="1" customWidth="1"/>
    <col min="102" max="102" width="14.25" bestFit="1" customWidth="1"/>
    <col min="103" max="103" width="18.5" bestFit="1" customWidth="1"/>
    <col min="104" max="104" width="23.125" bestFit="1" customWidth="1"/>
    <col min="105" max="105" width="14.25" bestFit="1" customWidth="1"/>
    <col min="106" max="106" width="17.25" customWidth="1"/>
    <col min="107" max="107" width="22.125" bestFit="1" customWidth="1"/>
    <col min="108" max="108" width="14.25" bestFit="1" customWidth="1"/>
    <col min="109" max="109" width="16.875" customWidth="1"/>
    <col min="110" max="110" width="21.75" bestFit="1" customWidth="1"/>
    <col min="111" max="111" width="14.25" bestFit="1" customWidth="1"/>
    <col min="112" max="112" width="16.375" customWidth="1"/>
    <col min="113" max="113" width="21.25" bestFit="1" customWidth="1"/>
    <col min="114" max="114" width="14.25" bestFit="1" customWidth="1"/>
    <col min="115" max="115" width="13.375" customWidth="1"/>
    <col min="116" max="116" width="18" bestFit="1" customWidth="1"/>
    <col min="117" max="117" width="14.25" bestFit="1" customWidth="1"/>
    <col min="118" max="118" width="16.75" bestFit="1" customWidth="1"/>
    <col min="119" max="119" width="21.5" bestFit="1" customWidth="1"/>
    <col min="120" max="120" width="14.25" bestFit="1" customWidth="1"/>
    <col min="121" max="121" width="17.75" bestFit="1" customWidth="1"/>
    <col min="122" max="122" width="22.625" bestFit="1" customWidth="1"/>
    <col min="123" max="123" width="14.25" bestFit="1" customWidth="1"/>
  </cols>
  <sheetData>
    <row r="1" spans="1:12" hidden="1">
      <c r="I1" s="4" t="s">
        <v>19</v>
      </c>
    </row>
    <row r="2" spans="1:12">
      <c r="A2" s="4" t="s">
        <v>17</v>
      </c>
      <c r="B2" s="4" t="s">
        <v>1</v>
      </c>
      <c r="C2" s="4" t="s">
        <v>9</v>
      </c>
      <c r="D2" s="4" t="s">
        <v>8</v>
      </c>
      <c r="E2" s="4" t="s">
        <v>2</v>
      </c>
      <c r="F2" s="4" t="s">
        <v>11</v>
      </c>
      <c r="G2" s="4" t="s">
        <v>10</v>
      </c>
      <c r="H2" s="4" t="s">
        <v>7</v>
      </c>
      <c r="I2" t="s">
        <v>20</v>
      </c>
      <c r="J2" t="s">
        <v>21</v>
      </c>
      <c r="K2" t="s">
        <v>22</v>
      </c>
      <c r="L2" t="s">
        <v>23</v>
      </c>
    </row>
  </sheetData>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4"/>
  <dimension ref="A2:F2"/>
  <sheetViews>
    <sheetView zoomScale="55" zoomScaleNormal="55" workbookViewId="0">
      <selection activeCell="D40" sqref="D40"/>
    </sheetView>
  </sheetViews>
  <sheetFormatPr defaultColWidth="11" defaultRowHeight="15.75"/>
  <sheetData>
    <row r="2" spans="1:6" hidden="1">
      <c r="A2" t="str">
        <f>CONCATENATE("abundance by ", Data!$B$14)</f>
        <v>abundance by family</v>
      </c>
      <c r="B2" t="str">
        <f>CONCATENATE("abundance-low by ", Data!$B$14)</f>
        <v>abundance-low by family</v>
      </c>
      <c r="C2" t="str">
        <f>CONCATENATE("abundance-high by ", Data!$B$14)</f>
        <v>abundance-high by family</v>
      </c>
      <c r="D2" t="str">
        <f>CONCATENATE("dna by ", Data!$B$14)</f>
        <v>dna by family</v>
      </c>
      <c r="E2" t="str">
        <f>CONCATENATE("dna-low by ", Data!$B$14)</f>
        <v>dna-low by family</v>
      </c>
      <c r="F2" t="str">
        <f>CONCATENATE("dna-high by ", Data!$B$14)</f>
        <v>dna-high by family</v>
      </c>
    </row>
  </sheetData>
  <pageMargins left="0.75" right="0.75" top="1" bottom="1" header="0.5" footer="0.5"/>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TopN</vt:lpstr>
      <vt:lpstr>Graphs</vt:lpstr>
    </vt:vector>
  </TitlesOfParts>
  <Company>Waikato University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Cleary</dc:creator>
  <cp:lastModifiedBy>rossb</cp:lastModifiedBy>
  <dcterms:created xsi:type="dcterms:W3CDTF">2012-12-19T03:29:40Z</dcterms:created>
  <dcterms:modified xsi:type="dcterms:W3CDTF">2013-02-12T03:55:12Z</dcterms:modified>
</cp:coreProperties>
</file>